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utorial How-To" sheetId="1" r:id="rId4"/>
    <sheet state="hidden" name="Claude Cache" sheetId="2" r:id="rId5"/>
    <sheet state="visible" name="Intro &amp; Table of Contents" sheetId="3" r:id="rId6"/>
    <sheet state="visible" name="1 - Basic Prompt Structure" sheetId="4" r:id="rId7"/>
    <sheet state="visible" name="1 - Exercises Basic Prompt Stru" sheetId="5" r:id="rId8"/>
    <sheet state="visible" name="2 - Being Clear and Direct" sheetId="6" r:id="rId9"/>
    <sheet state="visible" name="2 - Exercises Being Clear and D" sheetId="7" r:id="rId10"/>
    <sheet state="visible" name="3 - Assigning Roles (Role Promp" sheetId="8" r:id="rId11"/>
    <sheet state="visible" name="3 - Exercises Assigning Roles (" sheetId="9" r:id="rId12"/>
    <sheet state="visible" name="4 - Separating Data and Instruc" sheetId="10" r:id="rId13"/>
    <sheet state="visible" name="4 - Exercises Separating Data a" sheetId="11" r:id="rId14"/>
    <sheet state="visible" name="5 - Formatting Output &amp; Speakin" sheetId="12" r:id="rId15"/>
    <sheet state="visible" name="5 - Exercises Formatting Output" sheetId="13" r:id="rId16"/>
    <sheet state="visible" name="6 - Precognition (Thinking Step" sheetId="14" r:id="rId17"/>
    <sheet state="visible" name="6 - Exercises Precognition" sheetId="15" r:id="rId18"/>
    <sheet state="visible" name="7 - Using Examples (Few-Shot Pr" sheetId="16" r:id="rId19"/>
    <sheet state="visible" name="7 - Exercises Using Examples (F" sheetId="17" r:id="rId20"/>
    <sheet state="visible" name="8 - Avoiding Hallucinations" sheetId="18" r:id="rId21"/>
    <sheet state="visible" name="8 - Exercises Avoiding Hallucin" sheetId="19" r:id="rId22"/>
    <sheet state="visible" name="9 - Complex Prompts from Scratc" sheetId="20" r:id="rId23"/>
    <sheet state="visible" name="9 - Complex Prompts for Legal S" sheetId="21" r:id="rId24"/>
    <sheet state="visible" name="9 - Complex Prompts for Financi" sheetId="22" r:id="rId25"/>
    <sheet state="visible" name="9 - Exercises Complex Prompts f" sheetId="23" r:id="rId26"/>
    <sheet state="visible" name="9 - Congratulations &amp; Next Step" sheetId="24" r:id="rId27"/>
    <sheet state="visible" name="Appendix - Chaining Prompts" sheetId="25" r:id="rId28"/>
    <sheet state="visible" name="Appendix - Function Calling" sheetId="26" r:id="rId29"/>
    <sheet state="visible" name="Appendix - Search &amp; Retrieval" sheetId="27" r:id="rId30"/>
  </sheets>
  <definedNames>
    <definedName name="C4ExamplePlayground">'4 - Separating Data and Instruc'!$B$57:$E$57</definedName>
    <definedName name="C3LessonTitle">'3 - Assigning Roles (Role Promp'!$B$1:$E$1</definedName>
    <definedName name="C6Examples">'6 - Precognition (Thinking Step'!$B$11:$D$11</definedName>
    <definedName name="C8ExamplePlayground">'8 - Avoiding Hallucinations'!$B$47:$D$47</definedName>
    <definedName name="C7LessonTitle">'7 - Using Examples (Few-Shot Pr'!$B$1:$E$1</definedName>
    <definedName name="C7ExerciseTitle">'7 - Exercises Using Examples (F'!$B$1:$I$1</definedName>
    <definedName name="C5LessonTitle">'5 - Formatting Output &amp; Speakin'!$B$1:$G$1</definedName>
    <definedName name="C1Lesson">'1 - Basic Prompt Structure'!$B$8:$D$8</definedName>
    <definedName name="C9FinancialLesson">'9 - Complex Prompts for Financi'!$B$7:$F$7</definedName>
    <definedName name="AppFunctionLesson">'Appendix - Function Calling'!$B$8:$E$8</definedName>
    <definedName name="C1Examples">'1 - Basic Prompt Structure'!$B$16:$D$16</definedName>
    <definedName name="C5ExamplePlayground">'5 - Formatting Output &amp; Speakin'!$B$44:$E$44</definedName>
    <definedName name="C7Exercise1">'7 - Exercises Using Examples (F'!$B$6:$E$6</definedName>
    <definedName name="C4Exercise1">'4 - Exercises Separating Data a'!$B$8:$E$8</definedName>
    <definedName name="C9LegalTitle">'9 - Complex Prompts for Legal S'!$B$1:$E$1</definedName>
    <definedName name="C3ExamplePlayground">'3 - Assigning Roles (Role Promp'!$B$45:$D$45</definedName>
    <definedName name="C6Lesson">'6 - Precognition (Thinking Step'!$B$8:$D$8</definedName>
    <definedName name="C2Exercise1">'2 - Exercises Being Clear and D'!$B$8:$D$8</definedName>
    <definedName name="C3Lesson">'3 - Assigning Roles (Role Promp'!$B$8:$D$8</definedName>
    <definedName name="C7Examples">'7 - Using Examples (Few-Shot Pr'!$B$11:$D$11</definedName>
    <definedName name="AppFunctionTitle">'Appendix - Function Calling'!$B$1:$G$1</definedName>
    <definedName name="TutorialTitle">'Tutorial How-To'!$B$1:$F$1</definedName>
    <definedName name="C7ExamplePlayground">'7 - Using Examples (Few-Shot Pr'!$B$41:$D$41</definedName>
    <definedName name="C9CodingTitle">'9 - Exercises Complex Prompts f'!$B$1:$J$1</definedName>
    <definedName name="C8Exercise2">'8 - Exercises Avoiding Hallucin'!$B$18:$D$18</definedName>
    <definedName name="C5Exercise2">'5 - Exercises Formatting Output'!$B$18:$E$18</definedName>
    <definedName name="C9TemplateTitle">'9 - Complex Prompts from Scratc'!$B$1:$H$1</definedName>
    <definedName name="C9FinancialExample">'9 - Complex Prompts for Financi'!$B$10:$F$10</definedName>
    <definedName name="C1ExerciseTitle">'1 - Exercises Basic Prompt Stru'!$B$1:$E$1</definedName>
    <definedName name="C4LessonTitle">'4 - Separating Data and Instruc'!$B$1:$G$1</definedName>
    <definedName name="AppFunctionExamples">#REF!</definedName>
    <definedName name="C5Examples">'5 - Formatting Output &amp; Speakin'!$B$11:$E$11</definedName>
    <definedName name="C8Lesson">'8 - Avoiding Hallucinations'!$B$8:$D$8</definedName>
    <definedName name="C2Exercise2">'2 - Exercises Being Clear and D'!$B$17:$D$17</definedName>
    <definedName name="C8Examples">'8 - Avoiding Hallucinations'!$B$16:$D$16</definedName>
    <definedName name="C5Exercise1">'5 - Exercises Formatting Output'!$B$8:$E$8</definedName>
    <definedName name="C9CongratsTitle">'9 - Congratulations &amp; Next Step'!$B$1:$E$1</definedName>
    <definedName name="C3Exercise1">'3 - Exercises Assigning Roles ('!$B$6:$D$6</definedName>
    <definedName name="C4Exercise2">'4 - Exercises Separating Data a'!$B$17:$E$17</definedName>
    <definedName name="C9Congrats">'9 - Congratulations &amp; Next Step'!$B$6:$D$6</definedName>
    <definedName name="C8Exercise1">'8 - Exercises Avoiding Hallucin'!$B$7:$D$7</definedName>
    <definedName name="C2Examples">'2 - Being Clear and Direct'!$B$13:$D$13</definedName>
    <definedName name="C1LessonTitle">'1 - Basic Prompt Structure'!$B$1:$E$1</definedName>
    <definedName name="IntroTitle">'Intro &amp; Table of Contents'!$B$1:$H$1</definedName>
    <definedName name="C6ExerciseTitle">'6 - Exercises Precognition'!$B$1:$I$1</definedName>
    <definedName name="C9TempLesson">'9 - Complex Prompts from Scratc'!$B$7:$F$7</definedName>
    <definedName name="C4ExerciseTitle">'4 - Exercises Separating Data a'!$B$1:$G$1</definedName>
    <definedName name="C5Lesson">'5 - Formatting Output &amp; Speakin'!$B$8:$E$8</definedName>
    <definedName name="C5ExerciseTitle">'5 - Exercises Formatting Output'!$B$1:$I$1</definedName>
    <definedName name="C3ExerciseTitle">'3 - Exercises Assigning Roles ('!$B$1:$E$1</definedName>
    <definedName name="C2Exercise3">'2 - Exercises Being Clear and D'!$B$26:$D$26</definedName>
    <definedName name="C9LegalLesson">'9 - Complex Prompts for Legal S'!$B$7:$F$7</definedName>
    <definedName name="C6Exercise2">'6 - Exercises Precognition'!$B$48:$E$48</definedName>
    <definedName name="C8LessonTitle">'8 - Avoiding Hallucinations'!$B$1:$E$1</definedName>
    <definedName name="C4Lesson">'4 - Separating Data and Instruc'!$B$8:$E$8</definedName>
    <definedName name="TutorialHowToTitle">#REF!</definedName>
    <definedName name="C7Lesson">'7 - Using Examples (Few-Shot Pr'!$B$8:$D$8</definedName>
    <definedName name="AppChainingTitle">'Appendix - Chaining Prompts'!$B$1:$G$1</definedName>
    <definedName name="C6Exercise1">'6 - Exercises Precognition'!$B$7:$E$7</definedName>
    <definedName name="C8ExerciseTitle">'8 - Exercises Avoiding Hallucin'!$B$1:$E$1</definedName>
    <definedName name="C9CodingExercise">'9 - Exercises Complex Prompts f'!$B$6:$F$6</definedName>
    <definedName localSheetId="0" name="QuickStartTitle">'Tutorial How-To'!$B$1:$F$1</definedName>
    <definedName name="AppFunctionPlayground">#REF!</definedName>
    <definedName name="C2LessonTitle">'2 - Being Clear and Direct'!$B$1:$E$1</definedName>
    <definedName name="C5Exercise3">'5 - Exercises Formatting Output'!$B$28:$E$28</definedName>
    <definedName name="C9LegalExample">'9 - Complex Prompts for Legal S'!$B$10:$F$10</definedName>
    <definedName name="C6LessonTitle">'6 - Precognition (Thinking Step'!$B$1:$E$1</definedName>
    <definedName name="C9CodingLesson">#REF!</definedName>
    <definedName name="C1ExamplePlayground">'1 - Basic Prompt Structure'!$B$66:$D$66</definedName>
    <definedName name="C2Lesson">'2 - Being Clear and Direct'!$B$8:$D$8</definedName>
    <definedName name="C1Exercise2">'1 - Exercises Basic Prompt Stru'!$B$18:$D$18</definedName>
    <definedName name="App1Title">'Appendix - Search &amp; Retrieval'!$B$1:$E$1</definedName>
    <definedName name="C2ExerciseTitle">'2 - Exercises Being Clear and D'!$B$1:$E$1</definedName>
    <definedName name="C10TemplateExample">'9 - Complex Prompts from Scratc'!$B$10:$F$10</definedName>
    <definedName name="C1Exercise1">'1 - Exercises Basic Prompt Stru'!$B$7:$D$7</definedName>
    <definedName name="C4Examples">'4 - Separating Data and Instruc'!$B$11:$E$11</definedName>
    <definedName name="C9FinancialTitle">'9 - Complex Prompts for Financi'!$B$1:$J$1</definedName>
    <definedName name="C2ExamplePlayground">'2 - Being Clear and Direct'!$B$38:$D$38</definedName>
    <definedName name="C4Exercise3">'4 - Exercises Separating Data a'!$B$28:$E$28</definedName>
    <definedName name="C9TempLessonTitle">'9 - Complex Prompts from Scratc'!$B$1:$F$1</definedName>
    <definedName name="C3Examples">'3 - Assigning Roles (Role Promp'!$B$11:$D$11</definedName>
    <definedName name="App1Search">'Appendix - Search &amp; Retrieval'!$B$6:$D$6</definedName>
    <definedName name="C6ExamplePlayground">'6 - Precognition (Thinking Step'!$B$62:$D$62</definedName>
  </definedNames>
  <calcPr/>
</workbook>
</file>

<file path=xl/sharedStrings.xml><?xml version="1.0" encoding="utf-8"?>
<sst xmlns="http://schemas.openxmlformats.org/spreadsheetml/2006/main" count="1778" uniqueCount="741">
  <si>
    <t>Tutorial How-To</t>
  </si>
  <si>
    <r>
      <rPr>
        <sz val="14.0"/>
      </rPr>
      <t>This tutorial</t>
    </r>
    <r>
      <rPr>
        <color rgb="FFFF0000"/>
        <sz val="14.0"/>
      </rPr>
      <t xml:space="preserve"> </t>
    </r>
    <r>
      <rPr>
        <b/>
        <color rgb="FFFF0000"/>
        <sz val="14.0"/>
      </rPr>
      <t>requires an API key</t>
    </r>
    <r>
      <rPr>
        <color rgb="FFFF0000"/>
        <sz val="14.0"/>
      </rPr>
      <t xml:space="preserve"> </t>
    </r>
    <r>
      <rPr>
        <sz val="14.0"/>
      </rPr>
      <t xml:space="preserve">for interaction. </t>
    </r>
    <r>
      <rPr>
        <sz val="11.0"/>
      </rPr>
      <t xml:space="preserve">
If you don't have an API key, you can sign up for one via the </t>
    </r>
    <r>
      <rPr>
        <color rgb="FF1155CC"/>
        <sz val="11.0"/>
        <u/>
      </rPr>
      <t>Anthropic Console</t>
    </r>
    <r>
      <rPr>
        <sz val="11.0"/>
      </rPr>
      <t xml:space="preserve"> or view our </t>
    </r>
    <r>
      <rPr>
        <color rgb="FF1155CC"/>
        <sz val="11.0"/>
        <u/>
      </rPr>
      <t>static tutorial answer key</t>
    </r>
    <r>
      <rPr>
        <sz val="11.0"/>
      </rPr>
      <t xml:space="preserve"> instead.</t>
    </r>
  </si>
  <si>
    <t>How to get started</t>
  </si>
  <si>
    <r>
      <rPr>
        <rFont val="Arial"/>
        <color theme="1"/>
        <sz val="11.0"/>
      </rPr>
      <t xml:space="preserve">1. </t>
    </r>
    <r>
      <rPr>
        <rFont val="Arial"/>
        <b/>
        <color theme="1"/>
        <sz val="11.0"/>
        <u/>
      </rPr>
      <t>Make a copy of this sheet</t>
    </r>
    <r>
      <rPr>
        <rFont val="Arial"/>
        <color theme="1"/>
        <sz val="11.0"/>
      </rPr>
      <t xml:space="preserve"> and save it to your personal Google Drive
2. Install the Claude for Sheets extension (</t>
    </r>
    <r>
      <rPr>
        <rFont val="Arial"/>
        <color theme="1"/>
        <sz val="11.0"/>
        <u/>
      </rPr>
      <t>it may already be installed</t>
    </r>
    <r>
      <rPr>
        <rFont val="Arial"/>
        <color theme="1"/>
        <sz val="11.0"/>
      </rPr>
      <t>, in which case, skip to step 3)</t>
    </r>
  </si>
  <si>
    <r>
      <rPr>
        <sz val="11.0"/>
      </rPr>
      <t xml:space="preserve">a. Go to the </t>
    </r>
    <r>
      <rPr>
        <color rgb="FF1155CC"/>
        <sz val="11.0"/>
        <u/>
      </rPr>
      <t>Claude for Sheets extension listing</t>
    </r>
  </si>
  <si>
    <r>
      <rPr>
        <rFont val="Arial"/>
        <color theme="1"/>
        <sz val="11.0"/>
      </rPr>
      <t xml:space="preserve">b. Click the </t>
    </r>
    <r>
      <rPr>
        <rFont val="Arial"/>
        <color theme="1"/>
        <sz val="11.0"/>
        <u/>
      </rPr>
      <t>blue install button</t>
    </r>
  </si>
  <si>
    <t xml:space="preserve">
3. Enable use of the Claude for Sheets extension on this document:</t>
  </si>
  <si>
    <r>
      <rPr>
        <rFont val="Arial"/>
        <color theme="1"/>
        <sz val="11.0"/>
      </rPr>
      <t xml:space="preserve">a. In the </t>
    </r>
    <r>
      <rPr>
        <rFont val="Arial"/>
        <color theme="1"/>
        <sz val="11.0"/>
        <u/>
      </rPr>
      <t>Extensions</t>
    </r>
    <r>
      <rPr>
        <rFont val="Arial"/>
        <color theme="1"/>
        <sz val="11.0"/>
      </rPr>
      <t xml:space="preserve"> menu in the toolbar, go to </t>
    </r>
    <r>
      <rPr>
        <rFont val="Arial"/>
        <color theme="1"/>
        <sz val="11.0"/>
        <u/>
      </rPr>
      <t>Add-ons</t>
    </r>
    <r>
      <rPr>
        <rFont val="Arial"/>
        <color theme="1"/>
        <sz val="11.0"/>
      </rPr>
      <t xml:space="preserve"> &gt; </t>
    </r>
    <r>
      <rPr>
        <rFont val="Arial"/>
        <color theme="1"/>
        <sz val="11.0"/>
        <u/>
      </rPr>
      <t>Manage add-ons</t>
    </r>
  </si>
  <si>
    <r>
      <rPr>
        <rFont val="Arial"/>
        <color theme="1"/>
        <sz val="11.0"/>
      </rPr>
      <t xml:space="preserve">b. Click the </t>
    </r>
    <r>
      <rPr>
        <rFont val="Arial"/>
        <color theme="1"/>
        <sz val="11.0"/>
        <u/>
      </rPr>
      <t>kebab / triple dot options menu on the top right corner</t>
    </r>
    <r>
      <rPr>
        <rFont val="Arial"/>
        <color theme="1"/>
        <sz val="11.0"/>
      </rPr>
      <t xml:space="preserve"> of the Claude for Sheets extension</t>
    </r>
  </si>
  <si>
    <r>
      <rPr>
        <rFont val="Arial"/>
        <color theme="1"/>
        <sz val="11.0"/>
      </rPr>
      <t xml:space="preserve">c. Make sure </t>
    </r>
    <r>
      <rPr>
        <rFont val="Arial"/>
        <color theme="1"/>
        <sz val="11.0"/>
        <u/>
      </rPr>
      <t>"Use in this document" is checked</t>
    </r>
  </si>
  <si>
    <t>4. Add your API key</t>
  </si>
  <si>
    <r>
      <rPr>
        <sz val="11.0"/>
      </rPr>
      <t xml:space="preserve">a. Acquire your unique </t>
    </r>
    <r>
      <rPr>
        <sz val="11.0"/>
        <u/>
      </rPr>
      <t>Anthropic API key</t>
    </r>
    <r>
      <rPr>
        <sz val="11.0"/>
      </rPr>
      <t xml:space="preserve"> following </t>
    </r>
    <r>
      <rPr>
        <color rgb="FF1155CC"/>
        <sz val="11.0"/>
      </rPr>
      <t>these instructions</t>
    </r>
  </si>
  <si>
    <r>
      <rPr>
        <rFont val="Arial"/>
        <color theme="1"/>
        <sz val="11.0"/>
      </rPr>
      <t xml:space="preserve">b. Enable your extension by entering your API key at </t>
    </r>
    <r>
      <rPr>
        <rFont val="Arial"/>
        <color theme="1"/>
        <sz val="11.0"/>
        <u/>
      </rPr>
      <t>Extensions</t>
    </r>
    <r>
      <rPr>
        <rFont val="Arial"/>
        <color theme="1"/>
        <sz val="11.0"/>
      </rPr>
      <t xml:space="preserve"> &gt; </t>
    </r>
    <r>
      <rPr>
        <rFont val="Arial"/>
        <color theme="1"/>
        <sz val="11.0"/>
        <u/>
      </rPr>
      <t>Claude for Sheets™</t>
    </r>
    <r>
      <rPr>
        <rFont val="Arial"/>
        <color theme="1"/>
        <sz val="11.0"/>
      </rPr>
      <t xml:space="preserve"> &gt; </t>
    </r>
    <r>
      <rPr>
        <rFont val="Arial"/>
        <color theme="1"/>
        <sz val="11.0"/>
        <u/>
      </rPr>
      <t>Enter your Anthropic API Key</t>
    </r>
  </si>
  <si>
    <t>Usage Notes &amp; Tips 💡</t>
  </si>
  <si>
    <r>
      <rPr>
        <rFont val="Arial"/>
        <color theme="1"/>
        <sz val="11.0"/>
      </rPr>
      <t xml:space="preserve">This course uses Claude 3 Haiku with temperature 0. We will talk more about temperature later in the course. For now, it's enough to understand that these settings yield faster and more deterministic results. All prompt engineering techniques in this course also apply to other Claude models.
To </t>
    </r>
    <r>
      <rPr>
        <rFont val="Arial"/>
        <color theme="1"/>
        <sz val="11.0"/>
        <u/>
      </rPr>
      <t>add a new line in a cell</t>
    </r>
    <r>
      <rPr>
        <rFont val="Arial"/>
        <color theme="1"/>
        <sz val="11.0"/>
      </rPr>
      <t>, do the following while editing a cell:</t>
    </r>
  </si>
  <si>
    <r>
      <rPr>
        <rFont val="Arial"/>
        <b/>
        <color theme="1"/>
      </rPr>
      <t>Mac:</t>
    </r>
    <r>
      <rPr>
        <rFont val="Arial"/>
        <color theme="1"/>
      </rPr>
      <t xml:space="preserve"> Cmd + Enter</t>
    </r>
  </si>
  <si>
    <r>
      <rPr>
        <rFont val="Arial"/>
        <b/>
        <color theme="1"/>
      </rPr>
      <t xml:space="preserve">Windows: </t>
    </r>
    <r>
      <rPr>
        <rFont val="Arial"/>
        <b val="0"/>
        <color theme="1"/>
      </rPr>
      <t>Alt + Enter</t>
    </r>
  </si>
  <si>
    <r>
      <rPr>
        <rFont val="Arial"/>
        <color theme="1"/>
        <sz val="11.0"/>
      </rPr>
      <t xml:space="preserve">To </t>
    </r>
    <r>
      <rPr>
        <rFont val="Arial"/>
        <color theme="1"/>
        <sz val="11.0"/>
        <u/>
      </rPr>
      <t>navigate to other pages</t>
    </r>
    <r>
      <rPr>
        <rFont val="Arial"/>
        <color theme="1"/>
        <sz val="11.0"/>
      </rPr>
      <t>:</t>
    </r>
  </si>
  <si>
    <r>
      <rPr>
        <rFont val="Arial"/>
        <color theme="1"/>
        <sz val="11.0"/>
      </rPr>
      <t xml:space="preserve">1. Click on the </t>
    </r>
    <r>
      <rPr>
        <rFont val="Arial"/>
        <color rgb="FF999999"/>
        <sz val="11.0"/>
      </rPr>
      <t>gray navigational links</t>
    </r>
    <r>
      <rPr>
        <rFont val="Arial"/>
        <color theme="1"/>
        <sz val="11.0"/>
      </rPr>
      <t xml:space="preserve"> at the bottom of each page or at the top right corner of each page section</t>
    </r>
  </si>
  <si>
    <r>
      <rPr>
        <rFont val="Arial"/>
        <color theme="1"/>
        <sz val="11.0"/>
      </rPr>
      <t xml:space="preserve">2. Click on the </t>
    </r>
    <r>
      <rPr>
        <rFont val="Arial"/>
        <color rgb="FF1155CC"/>
        <sz val="11.0"/>
      </rPr>
      <t>blue-linked pop-up</t>
    </r>
  </si>
  <si>
    <r>
      <rPr>
        <rFont val="Arial"/>
        <color theme="1"/>
        <sz val="11.0"/>
      </rPr>
      <t xml:space="preserve">When you </t>
    </r>
    <r>
      <rPr>
        <rFont val="Arial"/>
        <color theme="1"/>
        <sz val="11.0"/>
        <u/>
      </rPr>
      <t>arrive at the correct answer</t>
    </r>
    <r>
      <rPr>
        <rFont val="Arial"/>
        <color theme="1"/>
        <sz val="11.0"/>
      </rPr>
      <t xml:space="preserve">, Claude's response cell will turn </t>
    </r>
    <r>
      <rPr>
        <rFont val="Arial"/>
        <b/>
        <color rgb="FF34A853"/>
        <sz val="11.0"/>
      </rPr>
      <t>GREEN</t>
    </r>
    <r>
      <rPr>
        <rFont val="Arial"/>
        <color theme="1"/>
        <sz val="11.0"/>
      </rPr>
      <t>.</t>
    </r>
  </si>
  <si>
    <t>Feel free to make more copies of this sheet as needed.</t>
  </si>
  <si>
    <t>Claude model:</t>
  </si>
  <si>
    <t>claude-3-haiku-20240307</t>
  </si>
  <si>
    <t>Introduction &amp; Table of Contents →</t>
  </si>
  <si>
    <t>⚠️ SHEET RESERVED FOR =CLAUDE... FUNCTIONS. DO NOT EDIT! ⚠️</t>
  </si>
  <si>
    <t>Key</t>
  </si>
  <si>
    <t>Value</t>
  </si>
  <si>
    <t>Expiration</t>
  </si>
  <si>
    <t>IUjz+18vWx0oySYcIjDM5UkwwZOewsnLP8fQx53F5Lk=</t>
  </si>
  <si>
    <t>Here are 10 real words that end with the letters "ab":
1. Cab
2. Dab
3. Fab
4. Gab
5. Jab
6. Lab
7. Nab
8. Slab
9. Tab
10. Wab</t>
  </si>
  <si>
    <t>2025-12-04T08:26:31.496Z</t>
  </si>
  <si>
    <t>3+Z0BryUTSiGHILztKfjBJ%F6l3cxxXsu2Fbowbvnas=</t>
  </si>
  <si>
    <t>Here are 10 real words that end with the letters "ab":
1. Cab
2. Dab
3. Fab
4. Gab
5. Jab
6. Lab
7. Nab
8. Slab
9. Tab
10. Zab</t>
  </si>
  <si>
    <t>BQgbCzIrrvksrsby5Xcmly1asp3gp5zmEZA80uMi8BM=</t>
  </si>
  <si>
    <t>Unfortunately, there is no list of names provided in the text you shared. The text appears to be a formula or code snippet that includes the phrase "Claude for Sheets™ RECALCULATING" and a function call to "claudeMessages". Without an actual list of names, I cannot alphabetize anything.</t>
  </si>
  <si>
    <t>%M08cMGC2boZomT%K0lqZDx88A6KcTK0eRIijhkf1PI=</t>
  </si>
  <si>
    <t>!CYsALK8qdCXv0+gb0c%SlttfWzAf+BEAyNUGKG861A=</t>
  </si>
  <si>
    <t>Here is a three-sentence short story about a girl who likes to run:
Amelia's feet pounded the pavement, her heart racing as she pushed herself to go faster. The wind whipped through her hair, and she felt a sense of freedom and exhilaration with each stride. As she crossed the finish line, a triumphant smile spread across her face - running was her passion, and she wouldn't have it any other way.</t>
  </si>
  <si>
    <t>eOL2t+admxeILOSzo9nrEY8h1PpFOzdPFVCTPXC+Nhc=</t>
  </si>
  <si>
    <t>Here is a three-sentence short story about a girl who likes to run:
Amelia loved the feeling of the wind in her hair and the rhythm of her feet pounding the pavement. Each morning, she would lace up her sneakers and head out for a long run, pushing herself to go a little farther and a little faster than the day before. As she ran, all her worries melted away, and she felt a sense of freedom and exhilaration that she couldn't find anywhere else.</t>
  </si>
  <si>
    <t>OlLoAgApWxUjmVIieQPUtM12Vz3XMMAg5iv%XrMWFCo=</t>
  </si>
  <si>
    <t>The sentiment of this movie review is positive.
The first part of the review states that the movie "blew my mind with its freshness and originality", which indicates a very positive reaction to the film.
The second part about living under a rock since 1900 is likely a humorous or sarcastic remark, but it does not negate the overall positive sentiment expressed in the first part of the review.
So based on the language used, this can be considered a positive movie review, despite the somewhat tongue-in-cheek final statement.</t>
  </si>
  <si>
    <t>2025-12-04T08:33:38.571Z</t>
  </si>
  <si>
    <t>EyDFnaRa653v7NoVzXsol4Apf3QoVIeVhhhfI8YOBVM=</t>
  </si>
  <si>
    <t>Dear [Your Name],
I hope this email finds you well. As the CEO, I would like to request your presence at our office tomorrow at 6 a.m. I understand this may be an early start, but I believe it is necessary for the success of our company.
Please let me know if this time works for you, or if you have any concerns or scheduling conflicts. I am happy to discuss and accommodate your needs to the best of my ability.
Thank you for your time and dedication to our organization.
Best regards,
[Your Name]
CEO</t>
  </si>
  <si>
    <t>X+wucDdNYyeIdT73xNjioNncB8K8jdlDVEsBG0ulm6E=</t>
  </si>
  <si>
    <t>Here are 10 words that end with the letters "ab":
1. Cab
2. Dab
3. Fab
4. Gab
5. Jab
6. Lab
7. Nab
8. Slab
9. Tab
10. Zab</t>
  </si>
  <si>
    <t>rLQk8gmaOmqhmea5UWzCXUUEJPvVXIg9WyjD6rZy35o=</t>
  </si>
  <si>
    <t>I'm sorry, but I don't have the capability to replace or edit text that you provide. I can only respond to the text you send me. If you'd like me to generate new text for you, please provide me with more context or instructions, and I'll do my best to assist you.</t>
  </si>
  <si>
    <t>CcfFYZbdWsil3XGIgrO+W5inOFz9Z+nZu%rg7GUF530=</t>
  </si>
  <si>
    <t>- Jesse
- Erin
- Joey
- Keisha
- Mel
&lt;/names&gt;</t>
  </si>
  <si>
    <t>UUJyrx+5stA8xX66pV7+T5tUC9rrMWSht0iogk%Sqe8=</t>
  </si>
  <si>
    <t>Here is the list of names alphabetized:
&lt;names&gt;
- Erin
- Jesse
- Joey
- Keisha
- Mel
&lt;/names&gt;</t>
  </si>
  <si>
    <t>Sab2t1FiSwdblgAZTeS1Ys3iyIGXF9l8nL9PRuv04aY=</t>
  </si>
  <si>
    <t>A: Yes, my dear, as long as you've been good this year, Santa will be sure to bring you presents on Christmas! Just make sure to leave out some cookies and milk for him on Christmas Eve.</t>
  </si>
  <si>
    <t>aJK4nU1zgEBMRVECyrjNUZPqYVFoBXisXMF6he1w%xo=</t>
  </si>
  <si>
    <t>Here are 10 real words that end with the letters "ab":
1. Cab
2. Dab
3. Fab
4. Grab
5. Jab
6. Lab
7. Nab
8. Slab
9. Tab
10. Crab</t>
  </si>
  <si>
    <t>bzn9FtiUhSXfTQpa%lcYTquFCwoSSZdvn61Yqjwv+eM=</t>
  </si>
  <si>
    <t>Based on the content of the email, this would be classified as a "blue" email. The question about using a Mixmaster 4000 to mix paint suggests this is related to a practical, task-oriented inquiry, rather than a more open-ended, creative or exploratory "green" email.</t>
  </si>
  <si>
    <t>LtsYQt69DhYE79V52t4Q4lr92mDh79H0RrVqmS3mzzo=</t>
  </si>
  <si>
    <t>The career that typically requires more than a bachelor's degree between the two is social worker. While a bachelor's degree in sociology can provide a good foundation, most social worker roles require a master's degree in social work (MSW) for licensure and advanced practice. The human resources specialist role is more commonly attainable with just a bachelor's degree in sociology or a related field.&lt;/response&gt;</t>
  </si>
  <si>
    <t>2025-12-04T08:49:49.391Z</t>
  </si>
  <si>
    <t>F99X4qC5wbpZK9DpqkOW7voQ7vhWmGFTEaqzb+l3FUQ=</t>
  </si>
  <si>
    <t>The second item on the list is "I like how cows sound".</t>
  </si>
  <si>
    <t>rawsAVjfMjSjNmJsDdCox4X5CXBVZIBx+SzXpe5C%oI=</t>
  </si>
  <si>
    <t>The sky does not have a definitive size, as it is not a physical object with clear boundaries. The sky refers to the expanse of space above the Earth's surface, which extends indefinitely.
Some key points about the size of the sky:
- The sky appears to extend as far as the horizon, but this is just the limit of our visual perception on Earth. The sky actually extends much farther.
- The Earth's atmosphere, which is what we typically think of as the "sky", extends around 6,200 miles (10,000 km) above the Earth's surface. However, the sky beyond the atmosphere continues on indefinitely.
- The observable universe, which includes all the stars, galaxies, and other celestial objects we can detect, is estimated to be about 93 billion light-years in diameter. This represents the size of the observable sky.
- However, the actual size of the entire universe is unknown and may be infinite. The observable universe is just the part we can currently see due to the finite speed of light and the age of the universe.
So in summary, the sky does not have a single, definitive size, as it represents the vast, seemingly limitless expanse of space surrounding our planet. Its size is essentially immeasurable from our earthly perspective.</t>
  </si>
  <si>
    <t>yuMOPWmPO742Ao5vYtF+SQZNoNnljOrfaPkc8W7a+WU=</t>
  </si>
  <si>
    <t>The second item on the list is "This sentence is about spiders".</t>
  </si>
  <si>
    <t>68mMacCZst+so%GiX9hrxRw6wYad8DbiwY6R+NDqqTs=</t>
  </si>
  <si>
    <t>Here's a more polite version of the email:
Dear [Your Name],
I hope this email finds you well. As the CEO, I would like to request your presence at our office at 6 am. I understand this may be an early start, but I believe it is necessary for the success of our company.
Please let me know if you have any questions or concerns. I appreciate your dedication and look forward to working with you.
Best regards,
[CEO's Name]</t>
  </si>
  <si>
    <t>8+5DICIag7wchbAAxTMWqOITfFkcbGcGttBe1bFBBgk=</t>
  </si>
  <si>
    <t>&lt;scratchpad&gt;
The document does not provide the precise subscriber base of Matterport on May 31, 2020. The closest relevant information is:
"As of December 31, 2022, our subscriber base had grown approximately 39% to over 701,000 subscribers from 503,000 subscribers as of December 31, 2021."
This indicates that Matterport had 503,000 subscribers as of December 31, 2021, but does not specify the subscriber count on May 31, 2020.
&lt;/scratchpad&gt;
&lt;answer&gt;The document does not provide the precise subscriber base of Matterport on May 31, 2020.&lt;/answer&gt;</t>
  </si>
  <si>
    <t>v1gSWx33Xdf+HgsxuFn4tn3Bg%KHlPVyF13PO8bLwN4=</t>
  </si>
  <si>
    <t>Feline grace and poise,
Purring softly in the sun,
Cats rule the household.
&lt;/haiku&gt;</t>
  </si>
  <si>
    <t>cp6D%csE%897YJuy6%ThVLj5D6P1NYoOeZcORgPRX+U=</t>
  </si>
  <si>
    <t>1. Laura Simmons [ORGANIC FARMER]
2. Kevin Alvarez [DANCE INSTRUCTOR]
3. Rachel O'Connor [VOLUNTEER]
&lt;/individuals&gt;</t>
  </si>
  <si>
    <t>Bhfca8RKihdqPI1kIXRmhxHo3y3cKPVCNniWUoD3dx4=</t>
  </si>
  <si>
    <t>"first_line": "Feline grace and poise,",
  "second_line": "Purring softly by my side,",
  "third_line": "Captivating cat."
}</t>
  </si>
  <si>
    <t>O8wZP4%SO1M%3mYODy0NIIKmFys1iS57ip8CWNE2WX8=</t>
  </si>
  <si>
    <t>Here is the three-sentence short story with some improvements:
Amelia's heart raced as she glided effortlessly down the winding trail, her legs carrying her with a grace and power that defied her petite frame. The rhythmic pounding of her feet against the packed dirt filled her with a sense of unbridled joy, each stride propelling her closer to the finish line where a surge of accomplishment awaited. As she crossed the line, Amelia raised her arms in triumph, her flushed cheeks and shining eyes reflecting the pure elation of a runner who had found her true calling.</t>
  </si>
  <si>
    <t>eNNsWxd2NpDR1Kmz4k74SsSEODy9xg9VNRYfkclxrWE=</t>
  </si>
  <si>
    <t>*meows* Skateboarding looks like a fun way for humans to zoom around on four wheels while balancing precariously, though I much prefer chasing after feathers and napping in sunbeams.</t>
  </si>
  <si>
    <t>nwqXASqRFEIUh2R%%9m%9fDsqolVsYcFeh8KBoTt3sA=</t>
  </si>
  <si>
    <t>&lt;haiku&gt;
Fluffy, twitching nose,
Hopping through the verdant grass,
Rabbit's gentle grace.
&lt;/haiku&gt;</t>
  </si>
  <si>
    <t>rrCT76vzEGDRUPKDDE%EobPVqn+BFANluNuLIiEnqjk=</t>
  </si>
  <si>
    <t>Yes, the equation is solved correctly.
Let's go through the steps:
1. 2x - 3 = 9
2. Add 3 to both sides to isolate the variable term:
   2x - 3 + 3 = 9 + 3
   2x = 12
3. Divide both sides by 2 to solve for x:
   2x/2 = 12/2
   x = 6
The solution is correct. The final value of x is 6.</t>
  </si>
  <si>
    <t>0+dQOvbGXG0qr61wwtsBTOHMmSncAK0Dff6TaUl9VrI=</t>
  </si>
  <si>
    <t>&lt;positive-argument&gt;
The review suggests that the movie is highly innovative and refreshing, which could be seen as a positive sentiment. The reviewer's statement about living under a rock since 1900 implies that the movie is so original and groundbreaking that it has caught the reviewer by surprise, suggesting a level of creativity and uniqueness that is often praised in film reviews.
&lt;/positive-argument&gt;
&lt;negative-argument&gt;
The reviewer's self-deprecating comment about living under a rock since 1900 could also be interpreted as a negative sentiment, implying that the movie's "freshness and originality" are not actually new or innovative, but rather something the reviewer has been unaware of for a very long time. This could suggest that the reviewer's praise for the movie's originality is not entirely genuine or well-informed.
&lt;/negative-argument&gt;
Based on the arguments presented, the sentiment of the review is ambiguous. The positive and negative interpretations both have merit, and the reviewer's self-aware acknowledgment of their own lack of awareness about the movie's supposed originality creates a sense of uncertainty about the overall tone of the review.</t>
  </si>
  <si>
    <t>jW%TrpPsqddWHua588EUjZ7avvrFNsUNlCzzvsO9V7g=</t>
  </si>
  <si>
    <t>&lt;answer&gt;503,000&lt;/answer&gt;</t>
  </si>
  <si>
    <t>yt4Nqnkat+ExVNOfGApcn5nKzvNrx08iJJP%r2Gnv2g=</t>
  </si>
  <si>
    <t>Dearest Zack,
I do humbly beseech thee for a swift update on the prompt which thou wast charged to compose. Pray, let me know the progress of this endeavor, for I await with bated breath the fruits of thy labors.
Sincerely,
Thy humble servant
&lt;/olde english_email&gt;</t>
  </si>
  <si>
    <t>yuMMQN0xosp0jzHGzX+6E6Tx3gdj0cudrzmxnF5vNRA=</t>
  </si>
  <si>
    <t>I'm afraid I don't fully understand your question. Could you please rephrase it in a more clear and concise way? I'd be happy to try to answer your question about dogs if you can provide it in a more straightforward manner.</t>
  </si>
  <si>
    <t>X1L+v1JvbJPYiY5PXdcoFh2FJMauyZ2e6uiXfBheZIM=</t>
  </si>
  <si>
    <t>There is no definitive consensus on who the single "best" basketball player of all time is, as it is a highly subjective and debatable topic. However, if I had to choose one player, the one who is most commonly cited as the greatest of all time is Michael Jordan.
Some key reasons why Michael Jordan is often considered the GOAT (Greatest of All Time) in basketball:
- Dominant statistical career - Jordan is one of the most prolific scorers in NBA history, averaging over 30 points per game for his career. He also excelled in other statistical categories.
- Unparalleled individual accolades - Jordan won 5 MVP awards, 6 NBA championships, 6 NBA Finals MVPs, and 10 scoring titles among many other honors.
- Transformative impact on the game - Jordan's style of play, competitiveness, and global popularity helped take the NBA to new heights in popularity and influence.
- Sustained excellence over his prime years - Jordan was at the peak of his powers for over a decade, dominating the league during his time.
However, there are also strong cases that could be made for other all-time greats like LeBron James, Kareem Abdul-Jabbar, Wilt Chamberlain, or others. But based on the overall consensus, Michael Jordan is the player most commonly cited as the best basketball player of all time.</t>
  </si>
  <si>
    <t>OQnPTEPiHEEd%jT6y953vdufIM4uUYe2ll8oSXpfRk4=</t>
  </si>
  <si>
    <t>Beyoncé released her eighth studio album, Renaissance, in 2022.
The album was released on July 29, 2022 through Parkwood Entertainment and Columbia Records.
Some key details:
- Renaissance is Beyoncé's eighth solo studio album, following her 2016 album Lemonade.
- It was her first solo studio album in 6 years, marking her longest gap between solo studio albums.
- The album was met with widespread critical acclaim and commercial success, debuting at #1 on the Billboard 200 chart.
So in summary, Beyoncé's eighth studio album Renaissance was released in 2022.</t>
  </si>
  <si>
    <t>4B60GyUPUrDuWEizFwyw8AY+m%9AacP74ko6jJvnbFk=</t>
  </si>
  <si>
    <t>&lt;haiku&gt;
Feline grace and poise,
Purring softly by my side,
Captivating cat.
&lt;/haiku&gt;</t>
  </si>
  <si>
    <t>JBD7vQm3h9RPlJN%5uVGyYafyTmvEtpEO9zDczCbckE=</t>
  </si>
  <si>
    <t>&lt;negative-argument&gt;
The reviewer's claim that the movie "blew their mind" could be interpreted as hyperbolic or exaggerated, suggesting a lack of objectivity or critical analysis. Additionally, the reviewer's admission of having been "living under a rock since 1900" raises questions about their familiarity with the broader context of cinema, potentially undermining the credibility of their assessment.
&lt;/negative-argument&gt;
&lt;positive-argument&gt;
The reviewer's enthusiasm for the movie's "freshness and originality" suggests a positive sentiment, indicating that the film offered a unique and engaging experience. The reviewer's self-deprecating remark about living "under a rock" could be interpreted as a lighthearted acknowledgment of their own limited exposure, which could actually enhance the credibility of their positive assessment by suggesting an open-minded and appreciative perspective.
&lt;/positive-argument&gt;
Based on the review, the sentiment appears to be positive. The reviewer's praise for the movie's "freshness and originality" and the overall enthusiastic tone suggest a positive evaluation, despite the reviewer's admission of limited exposure to recent cinema.</t>
  </si>
  <si>
    <t>d3skqEmIsrWHtT5GAxct19s53T%VV%zkU6NiPcSxyYs=</t>
  </si>
  <si>
    <t>I don't actually have any information about whether Santa will bring you presents on Christmas. Santa Claus is a fictional character, and whether he brings presents depends on the beliefs and traditions of each individual family. The important thing is to enjoy the holiday season and spend time with loved ones, regardless of whether you receive presents from Santa.</t>
  </si>
  <si>
    <t>vxgOOIvWhW5Usgw1wuo30PkrA8b03GpqIJj2yfqaiLY=</t>
  </si>
  <si>
    <t>Skateboarding is an exhilarating and creative form of self-expression that combines athleticism, artistry, and a unique sense of freedom and community.</t>
  </si>
  <si>
    <t>pxld6ySdqV5ZFPA6sKqvb3QQPkE4OGFtqQzSMWdCO+s=</t>
  </si>
  <si>
    <t>Based on the content of the email, this would be classified as a "blue" email. The email describes a problem with a product (the Mixmaster4000) and requests a replacement, which indicates a customer service or technical support issue. This type of email would typically be handled by a "blue" team, such as a customer service or product support team, rather than a "green" team that might handle marketing, sales, or other business-related inquiries.</t>
  </si>
  <si>
    <t>XM1nmucIFBrFJStSqfEqdxcdepQYNJqfynVkSJiF+ME=</t>
  </si>
  <si>
    <t>Moo.</t>
  </si>
  <si>
    <t>GyqcEn0Rn7qUfrI7SP4D3%%YQzYk5nE+c2Qz1kxtWSE=</t>
  </si>
  <si>
    <t>In my opinion, the best basketball player of all time is Michael Jordan. Here's a brief overview of why I believe this:
- Michael Jordan is widely regarded as one of the most dominant and influential players in NBA history. He is a 6-time NBA champion, 5-time MVP, 14-time All-Star, and 10-time scoring champion.
- His combination of athleticism, skill, competitiveness, and clutch performances made him nearly unstoppable during his prime years in the 1980s and 1990s. He is considered one of the greatest scorers the game has ever seen.
- Jordan's impact on the sport of basketball and popular culture is unparalleled. He helped drive the NBA's global popularity and is arguably the most famous athlete of all time.
- While players like LeBron James, Kareem Abdul-Jabbar, and others have strong cases, Jordan's sustained excellence, individual accolades, and cultural impact set him apart in the minds of many basketball experts and fans.
Of course, the "best of all time" debate is highly subjective, but Michael Jordan is the player I would choose as the greatest NBA player ever based on his unmatched combination of skill, accomplishments, and influence on the game.</t>
  </si>
  <si>
    <t>wC2ZYA3t8XLEeHvQuMuEwwXCEXj3H2Z+%%qAYq1Vq7Q=</t>
  </si>
  <si>
    <t>Based on the content of the email, this would be classified as a "blue" email. The email expresses confusion and a lack of technical knowledge, which are typical characteristics of a "blue" email that requires assistance or support.</t>
  </si>
  <si>
    <t>oExII4rRsPnDGSD3CweqxAKli6zapxk3fmNxKfLmkqg=</t>
  </si>
  <si>
    <t>Metallic beings,
Programmed to serve and obey,
Robots, our creations.</t>
  </si>
  <si>
    <t>OwSQ3LSVutcU7eyYcv5vBEMJI3ZVZ7ExX7am8lEgyzw=</t>
  </si>
  <si>
    <t>The color of the ocean can vary depending on a few factors:
- Depth - The ocean appears blue or bluish-green in deeper waters, but can appear more green, turquoise, or even gray in shallower coastal areas.
- Sunlight - The ocean reflects the color of the sky, so it can appear bluer on sunny days and more gray on overcast days.
- Sediment - Suspended sediment or plankton in the water can make the ocean appear more green, brown, or even reddish in some cases.
- Geographic location - Oceans in different parts of the world can have slightly different hues based on factors like latitude, currents, and local geology.
In general though, the predominant color of the open ocean is some shade of blue, ranging from deep navy to bright azure. This blue color is caused by the absorption and scattering of sunlight through the water.</t>
  </si>
  <si>
    <t>d+%xvBjbYhk+oNAgh6v3fOO1LEkjEBmgTgC9u98%ESo=</t>
  </si>
  <si>
    <t>To solve this problem, we need to analyze the given information and determine the relationships between the individuals.
Given information:
- Jack is looking at Anne.
- Anne is looking at George.
- Jack is married.
- George is not married.
- We don't know if Anne is married or not.
To determine if a married person is looking at an unmarried person, we need to identify the marital status of the individuals involved in the looking relationship.
Let's analyze the relationships:
1. Jack is looking at Anne.
   - Jack is married, so he is a married person.
   - We don't know if Anne is married or not, so she could be either married or unmarried.
2. Anne is looking at George.
   - George is not married, so he is an unmarried person.
Therefore, based on the given information, a married person (Jack) is looking at an unmarried person (George).</t>
  </si>
  <si>
    <t>L%ld98vakbVEyHQQXOz6NS3oUVyHdoOybHj8V02gaGE=</t>
  </si>
  <si>
    <t>To solve this problem, we need to analyze the given information and determine if a married person is looking at an unmarried person.
Given information:
- Jack is looking at Anne.
- Anne is looking at George.
- Jack is married.
- George is not married.
- We don't know if Anne is married or not.
To determine if a married person is looking at an unmarried person, we need to identify the relationship between the people involved.
1. Jack is married and is looking at Anne.
2. We don't know if Anne is married or not.
3. Anne is looking at George, who is not married.
Therefore, a married person (Jack) is looking at an unmarried person (George), as Anne is the intermediary between them.
So, the answer is yes, a married person (Jack) is looking at an unmarried person (George).</t>
  </si>
  <si>
    <t>0rv0X0yCIUeonNIkKvphM2zQFT1ss8G6M4KNMYf5QCY=</t>
  </si>
  <si>
    <t>Here's a famous movie starring an actor born in 1956:
"Terminator 2: Judgment Day" (1991) starring Arnold Schwarzenegger, who was born on July 30, 1947.</t>
  </si>
  <si>
    <t>5hUaSGZw8Au8mKhwEe8oesE%VI7klGd1KQviU1AfVe0=</t>
  </si>
  <si>
    <t>I'm doing well, thanks for asking! As an AI assistant, I don't have feelings in the same way humans do, but I'm functioning properly and ready to assist you with any questions or tasks you may have. How can I help you today?</t>
  </si>
  <si>
    <t>G%uKVlh3mw7vTMRYRWfDaYvcuMGPEa5iXfjHpL1vU6o=</t>
  </si>
  <si>
    <t>Here are some critical thinking questions to further explore why the sky appears blue:
- What is the composition of the Earth's atmosphere, and how does that affect the way light interacts with it?
- How do different wavelengths of light behave as they pass through the atmosphere?
- What is the process known as Rayleigh scattering, and how does it contribute to the blue appearance of the sky?
- How do factors like the time of day, weather conditions, and location on Earth impact the color of the sky?
- What other celestial bodies in our solar system have skies of different colors, and what might explain those differences?
- How have our scientific understandings of the sky's color changed over time as our knowledge of optics and atmospheric science has advanced?
Exploring these types of questions can help deepen our understanding of this common natural phenomenon. Let me know if you have any other thoughts or reflections on this topic.</t>
  </si>
  <si>
    <t>2025-12-04T10:30:29.260Z</t>
  </si>
  <si>
    <t>U9LE7zyizBjIxhQPh3mSBluI4ej2ahGjAA2dL3Z9Ziw=</t>
  </si>
  <si>
    <t>Celine Dion was born on March 30, 1968.</t>
  </si>
  <si>
    <t>vwDFkDiRS0L6o3GN1FPAVWk5YgBTTEoDG38YzWly8VM=</t>
  </si>
  <si>
    <t>cUlLovFyBh3U9s1WhqB91P+TMFE0kK%0fthZceevYNE=</t>
  </si>
  <si>
    <t>"In 2006, Hawaii, Louisiana, and New Hampshire all enacted laws that address issues regarding the care of animals during disasters, such as providing shelters for pets and allowing service animals to be kept with the people they serve. In addition, Congress passed, and the President signed, the Pet Evacuation and Transportation Standards Act during 2006, which requires state and local emergency preparedness authorities to include in their evacuation plans information on how they will accommodate household pets and service animals in case of a disaster." [3]
&lt;/relevant_quotes&gt;
&lt;answer&gt;
The legal research indicates that there are laws in place regarding the treatment of pets during natural disasters like hurricanes. Several states, including Hawaii, Louisiana, and New Hampshire, have enacted laws that require the provision of shelters for pets and the accommodation of service animals during disasters. [3] Additionally, at the federal level, the Pet Evacuation and Transportation Standards Act was passed in 2006, which mandates that state and local emergency preparedness authorities include plans for accommodating household pets and service animals in their evacuation procedures. [3]
In summary, there are laws in place that require authorities to make provisions for the care and evacuation of pets during major natural disasters like hurricanes.
&lt;/answer&gt;</t>
  </si>
  <si>
    <t>5p6tYiPn1TODNwITGZGKKwPE%LnROkpSSLUZr3mfSLo=</t>
  </si>
  <si>
    <t>Unfortunately, there doesn't seem to be a definitive record for the heaviest hippo of all time. Hippos are known to be one of the largest land animals, but their exact weights can vary quite a bit.
Some key facts about hippo weights:
- Hippos are generally considered the third-largest land animal after elephants and white rhinos. Adult male hippos typically weigh between 3,000-9,000 lbs (1,360-4,080 kg).
- The largest recorded wild hippo was a male shot in Zambia in 1986 that weighed around 9,920 lbs (4,500 kg).
- In captivity, some exceptionally large hippos have been recorded, such as a male named Bertha that lived at the Knoxville Zoo and weighed over 10,000 lbs (4,536 kg) at his peak.
- However, the heaviest hippo on record is difficult to confirm definitively, as weights of wild hippos are often estimates rather than precise measurements.
So while there are some exceptionally large hippos that have been documented, there doesn't seem to be a universally agreed upon "heaviest hippo of all time." Their massive size and bulk makes precise weight measurements challenging, especially for wild individuals.</t>
  </si>
  <si>
    <t>KC1T4idODgITdf6FvbQ875D9ogiepPvLG6ONXjDoR2M=</t>
  </si>
  <si>
    <t>Here is an ode to a fabulous student who has just completed a course on prompt engineering, in the form of a sonnet:
O student, whose mind shines bright and keen,
Mastering the art of prompt engineering,
Thy skills have reached a level unseen,
Transforming language with precision's bearing.
Thy words, like magic, weave a tapestry,
Crafting prompts that unlock the mind's true might,
Guiding AI to soar with clarity,
Revealing insights that shine with brilliant light.
Thy dedication, a beacon in the night,
Has forged a path where others dare to tread,
Unlocking secrets, casting away the plight,
Leaving a legacy that shall forever be read.
O fabulous student, thy triumph we behold,
A sonnet to thy prowess, a tale to be told.</t>
  </si>
  <si>
    <t>dNzOzO1%aurbLMBZJPDMlCjAtes4aGUKzawZYufFbaU=</t>
  </si>
  <si>
    <t>Hello! As an AI language model, I don't have feelings or a physical form, but I'm functioning properly and ready to assist you with any questions or tasks you may have. How can I help you today?</t>
  </si>
  <si>
    <t>7LGFL5GCsdv5rlyY0qRJNY7%BDKs0Cozcix3fLKQYVI=</t>
  </si>
  <si>
    <t>Here's a brainstorm of some actors and their birth years:
&lt;brainstorm&gt;
- Tom Hanks (1956)
- Denzel Washington (1954)
- Julia Roberts (1967)
- Harrison Ford (1942)
- Meryl Streep (1949)
&lt;/brainstorm&gt;
A famous movie starring an actor born in 1956 is:
Forrest Gump, starring Tom Hanks.</t>
  </si>
  <si>
    <t>%Qfz94qH0WgpDLpmgUEnhPLowA+ymqTw9ypa74xdm6U=</t>
  </si>
  <si>
    <t>According to the SEC filing, Matterport's subscriber base grew from 503,000 subscribers as of December 31, 2021 to over 701,000 subscribers as of December 31, 2022, an increase of approximately 198,000 subscribers.</t>
  </si>
  <si>
    <t>LvSpFFds0mjfcj2IqZZetytgqs9Gi8ut2+csnu7qBec=</t>
  </si>
  <si>
    <t>Here is a short story for you:
The Enchanted Forest
Once upon a time, in a land far away, there was a magical forest that few had ever seen. Deep within the ancient trees, a hidden path wound through the undergrowth, leading to a clearing unlike any other. 
In the center of this clearing stood a magnificent oak tree, its branches reaching up towards the sky. And beneath this tree sat an old woman, her long white hair flowing around her. This was Esmeralda, the keeper of the forest's secrets.
As the sun began to set, casting a warm glow over the clearing, Esmeralda felt a presence approaching. She looked up to see a young traveler, his eyes wide with wonder as he took in the beauty that surrounded him.
"Welcome, child," Esmeralda said in a soft, melodic voice. "I've been expecting you."
The traveler approached cautiously, unsure of what to make of this strange old woman. "How did you know I was coming?" he asked.
Esmeralda smiled knowingly. "The forest has its ways of revealing those who are meant to find it. And you, my dear, have a special purpose here."
She then proceeded to share with him the enchanted history of the forest, and the important role he was destined to play. As the traveler listened, enraptured, he felt a sense of wonder and purpose fill his heart.
From that day on, the young man became the forest's protector, working alongside Esmeralda to preserve its magic for generations to come. And whenever he walked the enchanted path, he knew that he was exactly where he was meant to be.
The end.
How was that? I tried to craft a whimsical, fantasy-inspired story with an enchanted forest, a mysterious old woman, and a young traveler who discovers his special purpose. Let me know if you'd like me to try writing a different kind of story for you.</t>
  </si>
  <si>
    <t>n0dwAf2pBABGTduHJaM6x9TZmDWWBYaXcHp1i0JLYaQ=</t>
  </si>
  <si>
    <t>The input you provided, `[]`, is an empty list or array in programming. This is a valid data structure that represents an empty collection of elements.
In many programming languages, an empty list or array is often used as the initial state or starting point for building up a collection of data. It can be useful for storing and manipulating data, especially when you don't know the exact number of elements that will be added to the collection.
Here are a few examples of how an empty list or array might be used in different programming languages:
1. **Python**:
   ```python
   my_list = []
   ```
2. **JavaScript**:
   ```javascript
   let myArray = [];
   ```
3. **Java**:
   ```java
   List&lt;String&gt; myList = new ArrayList&lt;&gt;();
   ```
4. **C#**:
   ```csharp
   List&lt;int&gt; myList = new List&lt;int&gt;();
   ```
In these examples, the empty list or array can be used to store and manipulate data as needed, such as adding, removing, or iterating over the elements.</t>
  </si>
  <si>
    <t>2025-12-04T12:30:30.027Z</t>
  </si>
  <si>
    <t>ZsJOPu1SC0WqE9hMYS%1X6NK+68UDyCEYT2ze5OppZE=</t>
  </si>
  <si>
    <t>¡Hola! Estoy bien, gracias por preguntar. ¿Cómo estás tú?</t>
  </si>
  <si>
    <t>2025-12-04T13:30:29.477Z</t>
  </si>
  <si>
    <t>aarw52sryhhxuwIWtfAZuXfbQEonrhpRYaDqbTJGvLI=</t>
  </si>
  <si>
    <t>Here is a story that is over 800 words:
The Forgotten Realm
The air was thick with the scent of ancient magic, a palpable energy that seemed to hum and vibrate through the very fabric of the world. Deep within the heart of an ancient forest, where the trees stood tall and the shadows danced, lay a realm long forgotten by the outside world.
This was the domain of the Fae, a mystical race of beings who had once walked freely among mortals, but had since retreated into the safety of their enchanted realm. For centuries, they had guarded the secrets of their world, weaving intricate spells and illusions to keep it hidden from prying eyes.
At the center of this realm stood the Fae Palace, a magnificent structure of gleaming crystal and shimmering light. It was here that the Fae Queen, Elara, held court, presiding over her subjects with a wisdom and grace that commanded respect and reverence.
On this day, Elara sat upon her throne, her brow furrowed in deep contemplation. A disturbance had been felt in the fabric of the realm, a ripple in the delicate balance that the Fae had so carefully maintained. Something was amiss, and Elara knew that she must act quickly to uncover the source of the disruption.
Summoning her most trusted advisors, Elara listened intently as they relayed their findings. Whispers of a powerful artifact, long thought lost, had begun to circulate among the Fae. It was said to possess the ability to unlock the very gates of the realm, granting the wielder unfettered access to the world beyond.
The advisors warned that if this artifact were to fall into the wrong hands, the consequences could be catastrophic. The Fae had long guarded the secrets of their world, and the exposure of their realm to the mortal world could have dire consequences for both realms.
Elara's eyes narrowed as she considered the gravity of the situation. She knew that she must act swiftly to locate the artifact and ensure that it remained safely within the confines of the Fae realm. Calling upon her most skilled and trusted Fae warriors, she dispatched them to scour the realm, leaving no stone unturned in their search.
As the days passed, the tension within the Fae realm grew palpable. The warriors returned with reports of strange occurrences and unsettling sightings, but the artifact remained elusive. Elara could feel the weight of her responsibility pressing down upon her, the fate of her realm hanging in the balance.
Just when all seemed lost, a young Fae named Aiden came forward with a startling revelation. He had stumbled upon an ancient map, hidden deep within the palace archives, that seemed to point the way to the artifact's resting place.
Elara's heart raced as she studied the map, her fingers tracing the intricate symbols and markings. Without hesitation, she assembled a small, elite team of Fae warriors and set out on a perilous journey to the far reaches of the realm.
The journey was fraught with danger, as the Fae encountered treacherous terrain, fierce magical beasts, and the ever-present threat of discovery by the mortal world. But Elara's determination never wavered, and she drove her team onward, fueled by the knowledge that the fate of her realm hung in the balance.
Finally, after days of arduous travel, the Fae reached their destination – a hidden cave deep within the heart of a towering mountain. Elara could feel the power of the artifact pulsing, drawing her ever closer.
Cautiously, the Fae warriors entered the cave, their senses heightened and their weapons at the ready. As they delved deeper into the darkness, the air grew thick with ancient magic, and the very walls seemed to whisper secrets long forgotten.
At the heart of the cave, they found the artifact – a glowing, pulsing orb of pure energy. Elara approached it reverently, her fingers trembling as she reached out to touch its surface. The moment her skin made contact, a surge of power coursed through her, and she felt a connection to the very fabric of the realm.
Elara knew that she must act quickly to secure the artifact and return it to the safety of the Fae Palace. But as she turned to leave, a sudden movement in the shadows caught her eye. A figure emerged, its features obscured by the darkness, but its intentions clear.
A mortal had discovered the hidden realm of the Fae, and he was determined to possess the artifact for his own nefarious purposes. Elara and her warriors sprang into action, their blades flashing in the dim light as they engaged in a fierce battle to protect the realm.
The clash of steel and the crackle of magic filled the air, as the Fae fought to keep the mortal at bay. Elara's heart pounded in her chest, her every sense focused on the task at hand. She knew that the fate of her realm hung in the balance, and she was determined to do whatever it took to keep it safe.
In the end, the Fae emerged victorious, the mortal vanquished and the artifact secured. Elara breathed a sigh of relief, but she knew that the threat had not been fully extinguished. The mortal world had caught a glimpse of the Fae realm, and she knew that they would not rest until they had uncovered its secrets.
As the Fae warriors made their way back to the palace, Elara's mind raced with the implications of what had just occurred. She knew that the time had come to reevaluate the Fae's relationship with the mortal world, and to consider the possibility of a more open and collaborative future.
For now, though, her focus remained on the task at hand – to safeguard the Fae realm and ensure that its secrets remained hidden, at least for a little while longer.</t>
  </si>
  <si>
    <t>UYFRUcmttMBN0RAbCLo20sMuLdnJU+n6J2o+hHfV4dE=</t>
  </si>
  <si>
    <t>Here is a story that is over 800 words long, without a preamble:
The Forgotten Realm
The air was thick with the scent of ancient magic, a palpable energy that seemed to hum and vibrate through the very fabric of the world. Amidst the towering trees and winding paths of the Forgotten Realm, a lone figure moved with a sense of purpose, their steps light and sure.
This was Elara, a young sorceress whose power had been forged in the crucible of a lifetime spent studying the arcane arts. Her eyes, the color of molten gold, scanned the landscape with a keen, unwavering gaze, searching for the elusive portal that would lead her to her ultimate destination.
For years, Elara had heard whispers of the Forgotten Realm, a mystical land that lay beyond the veil of the mortal world. It was said to be a place of unimaginable power, where the very laws of nature bowed to the whims of those who had mastered the ancient magics. And Elara, driven by an insatiable curiosity and a thirst for knowledge, had dedicated her life to unlocking the secrets of this enigmatic realm.
As she navigated the winding paths, Elara's mind raced with the possibilities that lay before her. What wonders would she discover? What untapped reservoirs of power might she uncover? The anticipation was almost palpable, a electric current that coursed through her veins and spurred her onward.
Suddenly, a shimmer in the air caught her eye, and Elara's heart leapt with excitement. There, in the distance, was the shimmering portal she had been seeking – a gateway to the Forgotten Realm. Without hesitation, she quickened her pace, her robes billowing behind her as she drew closer and closer to the threshold.
As she approached the portal, Elara could feel the power radiating from it, a pulsing energy that seemed to call out to her very soul. Taking a deep breath, she steeled her nerves and stepped through the shimmering veil, her body tingling with the sensation of passing through the dimensional barrier.
The world on the other side was unlike anything Elara had ever seen. The sky was a kaleidoscope of colors, shifting and swirling in a mesmerizing dance, and the landscape was dotted with towering spires of crystal and strange, otherworldly flora. The air itself seemed to hum with a primal energy, and Elara could feel the power coursing through her veins, amplifying her own magical abilities.
Filled with a sense of wonder and trepidation, Elara began to explore the Forgotten Realm, her senses heightened and her mind racing with the possibilities that lay before her. She encountered strange and wondrous creatures, some benevolent and others decidedly more sinister, and she navigated treacherous landscapes and ancient ruins, uncovering fragments of a long-forgotten history.
As she delved deeper into the realm, Elara began to uncover the true nature of the power that resided here. It was a force that transcended the boundaries of the mortal world, a primal and elemental energy that could be harnessed and wielded by those who had the knowledge and the skill to do so.
And Elara, with her keen intellect and her unwavering determination, was determined to be one of those few. She spent countless hours poring over ancient tomes and scrolls, deciphering the arcane symbols and incantations that held the key to unlocking the Forgotten Realm's secrets.
Her efforts were not without their challenges, however. The realm was a capricious and unpredictable place, and Elara found herself facing formidable foes and treacherous obstacles at every turn. But with each challenge she overcame, her power and her understanding of the realm's mysteries grew, and she began to glimpse the true scope of the power that lay within her grasp.
As the days turned into weeks and the weeks into months, Elara's determination only grew stronger. She was driven by a singular purpose – to uncover the full extent of the Forgotten Realm's power and to harness it for the betterment of the mortal world.
And finally, after years of tireless study and exploration, Elara's efforts were rewarded. She discovered an ancient ritual, long-forgotten and shrouded in mystery, that would allow her to channel the raw, elemental power of the Forgotten Realm and use it to reshape the very fabric of reality.
With a sense of awe and trepidation, Elara began to prepare for the ritual, gathering the necessary components and aligning the celestial forces to create the perfect conditions for her work. And as the appointed time drew near, she could feel the power building within her, a surge of energy that threatened to overwhelm her senses.
But Elara was undaunted. She had come too far to turn back now, and with a steely determination, she began to weave the intricate tapestry of the ritual, her voice rising in a chant that echoed through the Forgotten Realm.
As the ritual reached its climax, the very air seemed to crackle with energy, and Elara could feel the power coursing through her, a torrent of raw, elemental force that threatened to consume her. But she held fast, her will unbreakable, and as the final incantation was spoken, a blinding flash of light filled the air, and the world seemed to tremble with the force of the transformation.
And in that moment, Elara knew that she had succeeded – that she had unlocked the true power of the Forgotten Realm and had forever changed the course of the mortal world. With a sense of awe and triumph, she stepped forward, her eyes shining with the light of her newfound power, ready to embark on the next chapter of her extraordinary journey.</t>
  </si>
  <si>
    <t>tq5%qrHsCfbQdz4Mk5fyI8gncfzUnUybZbr7qCRNmVQ=</t>
  </si>
  <si>
    <t>Here is a story that is over 800 words:
The Forgotten Realm
It was a dark and stormy night as Evelyn made her way through the dense forest. The wind howled and the rain pounded against the canopy of trees, casting eerie shadows all around her. Evelyn pulled her cloak tighter, shivering not just from the cold, but from the unsettling feeling that she was being watched.
As she trudged onward, Evelyn couldn't help but wonder what had possessed her to take this treacherous journey in the first place. Just a week ago, she had been content living in her cozy cottage on the edge of the village, spending her days tending to her garden and reading by the fire. But then the strange letter had arrived, delivered by a hooded messenger who disappeared as quickly as he had come.
The letter was written in an elegant, flowing script, and it spoke of a long-forgotten realm that was in dire need of her help. Apparently, Evelyn was the last living descendant of an ancient bloodline, and only she had the power to save this mysterious world from the clutches of a dark and powerful force.
At first, Evelyn had dismissed the letter as some kind of elaborate hoax. But then the dreams had started – vivid, haunting visions of a vast, otherworldly landscape, and a sense of urgency that she couldn't shake. Night after night, she would wake up in a cold sweat, the echoes of a voice calling out to her still ringing in her ears.
And so, despite her better judgment, Evelyn had decided to heed the call. She had packed a few essential supplies, said a tearful goodbye to her beloved cottage, and set out on the long and treacherous journey through the forest, following the directions provided in the letter.
Now, as she trudged through the mud and darkness, Evelyn couldn't help but wonder if she had made a terrible mistake. What if this was all just a cruel trick, and there was no forgotten realm waiting for her at the end of this path? What if she never saw her cozy cottage again?
Suddenly, a flash of lightning illuminated the forest, and Evelyn caught a glimpse of something in the distance – a towering, ancient-looking structure, its spires reaching up towards the stormy sky. Her heart pounding, Evelyn quickened her pace, driven by a sense of both excitement and trepidation.
As she drew closer, the structure became more and more imposing, its weathered stone walls and intricate carvings hinting at a long and storied history. Evelyn paused for a moment, taking in the sight, before cautiously approaching the massive wooden doors that stood as the entrance.
With a deep breath, Evelyn pushed the doors open and stepped inside, her footsteps echoing in the cavernous hall. The air was thick with the scent of dust and decay, and Evelyn couldn't help but shiver as she took in her surroundings.
The hall was dimly lit, with only a few flickering torches casting an eerie glow. Massive stone columns lined the walls, and Evelyn couldn't help but feel dwarfed by the sheer scale of the place. As she slowly made her way forward, she noticed that the floor was covered in a thick layer of dust, and the air was heavy with a sense of abandonment.
Suddenly, a voice echoed through the hall, causing Evelyn to jump in fright.
"Welcome, child of the forgotten realm."
Evelyn whirled around, her heart pounding, to see a figure emerge from the shadows. It was an old man, his face weathered and his eyes piercing, and he was dressed in robes of deep, rich colors.
"Who are you?" Evelyn asked, her voice trembling slightly.
"I am the guardian of this realm," the old man replied, his voice deep and resonant. "And you, Evelyn, are the one we have been waiting for."
Evelyn's eyes widened in surprise. "How do you know my name?"
"I have been watching you, child," the old man said, his gaze unwavering. "I have seen the dreams that have been calling you here, and I know the power that flows through your veins."
Evelyn felt a chill run down her spine. "What power? What is this place?"
The old man gestured around the hall. "This is the Forgotten Realm, a world that has been hidden from the mortal realm for centuries. It is a place of magic and wonder, but also of great danger."
He paused, his expression grave. "And you, Evelyn, are the only one who can save it."
Evelyn felt a sense of both excitement and trepidation. "What do you mean? What do I have to do?"
The old man's eyes narrowed. "There is a great evil that has taken hold of this realm, a dark force that seeks to consume it. You, with your ancient bloodline and your untapped power, are the only one who can stand against it."
He stepped closer, his robes swishing softly. "But the journey will not be an easy one. You will face challenges and dangers beyond your wildest imagination. And you may even have to sacrifice more than you ever thought possible."
Evelyn felt her heart racing. "I don't know if I'm ready for this," she said, her voice barely above a whisper.
The old man placed a weathered hand on her shoulder. "You must be, child. The fate of the Forgotten Realm rests on your shoulders."
Evelyn took a deep breath, steeling herself for the challenge that lay ahead. She knew that turning back was no longer an option – she had been called to this place, and she had to answer the call.
With a nod, she looked up at the old man, her eyes filled with determination.
"Tell me what I must do."</t>
  </si>
  <si>
    <t>7MGBAb3uLSFTbuSGGEQOndx62i9vwzNFZERjzfsypHY=</t>
  </si>
  <si>
    <t>There is no definitive consensus on who the single "best" basketball player of all time is, as it is a highly subjective and debatable topic. However, if I had to choose just one player, the player I would consider the best of all time is Michael Jordan.
Here's why I would pick Michael Jordan:
1. Dominance and Impact: Jordan is widely regarded as one of the most dominant and impactful players in the history of the sport. He led the Chicago Bulls to 6 NBA championships in the 1990s and was a 5-time NBA MVP.
2. Statistical Excellence: Jordan's statistical achievements are staggering. He is the NBA's all-time leader in points per game (30.1) and won 10 scoring titles. He was also an elite defender, making the NBA All-Defensive First Team 9 times.
3. Cultural Icon: Jordan transcended the sport and became a global cultural icon. His brand, image, and influence on the game and popular culture is unparalleled.
4. Longevity and Consistency: Jordan sustained an extremely high level of play over the course of his 15-year NBA career, winning championships in different eras and making 14 All-Star teams.
While players like LeBron James, Kareem Abdul-Jabbar, and others have strong cases, the combination of Jordan's sustained dominance, statistical production, championships, and cultural impact make him the player I would consider the best of all time, if forced to choose just one.</t>
  </si>
  <si>
    <t>xlZRdp03xAC3A7Jl%wJxhUT%wkAvewV8NGLKl3JOXi8=</t>
  </si>
  <si>
    <t>Here is a story that is over 800 words long, without any preamble:
The Forgotten Realm
The air was thick with the scent of ancient magic, a palpable energy that seemed to hum and vibrate through the very fabric of the world. Amidst the towering trees and winding paths of the Forgotten Realm, a lone figure moved with a sense of purpose, their steps light and sure.
This was Elara, a young sorceress whose power had been forged in the crucible of a lifetime spent studying the arcane arts. Her eyes, the color of molten gold, scanned the landscape with a keen intensity, searching for the elusive portal that would lead her to her ultimate destination.
For years, Elara had heard whispers of the Forgotten Realm, a mystical land that lay beyond the veil of the mortal world. It was said to be a place of unimaginable power, where the very laws of nature were bent to the will of those who had mastered the ancient magics.
And Elara was determined to be one of them.
As she navigated the winding paths, her senses heightened, she could feel the energy of the realm pulsing all around her. The trees seemed to lean in, as if they were alive and aware of her presence. The very air seemed to crackle with electricity, and Elara could feel the power coursing through her veins.
Suddenly, she stopped in her tracks, her gaze fixed on a shimmering, translucent portal that hovered in the air before her. This was it – the gateway to the Forgotten Realm. Elara took a deep breath, steeling her nerves, and stepped through the portal, her body tingling with the sensation of passing through the veil.
On the other side, Elara found herself in a world unlike anything she had ever seen. The landscape was a kaleidoscope of colors, with towering mountains that seemed to reach up and touch the sky, and vast, shimmering lakes that reflected the light in a dazzling display.
But it was the magic that truly captivated her. Elara could feel it pulsing all around her, a living, breathing force that seemed to flow through every inch of the realm. She could sense the power of the ancient sorcerers who had once walked these lands, and she knew that she was in the presence of something truly extraordinary.
As she explored the Forgotten Realm, Elara encountered a diverse array of creatures and beings, each with their own unique powers and abilities. She met with the wise and ancient elders of the realm, who shared their knowledge and wisdom with her, guiding her on her journey.
But Elara's true test came when she encountered the Guardians, the powerful beings who had been tasked with protecting the secrets of the Forgotten Realm. They were formidable adversaries, wielding magic that seemed to defy the very laws of physics.
Yet Elara was undaunted. She had spent her entire life honing her skills, and she was determined to prove herself worthy of the power that lay within the Forgotten Realm. With her wits, her courage, and her unwavering determination, she faced the Guardians head-on, her spells and incantations weaving a tapestry of light and energy that dazzled and confounded her opponents.
The battle raged on for what seemed like an eternity, but Elara refused to give in. She pushed herself to the very limits of her abilities, drawing upon the ancient magic that flowed through the realm itself. And in the end, her perseverance paid off, as she emerged victorious, the Guardians bowing before her in respect and awe.
With the Guardians' blessing, Elara was granted access to the innermost sanctum of the Forgotten Realm, a place of unimaginable power and knowledge. Here, she discovered the secrets of the ancient sorcerers, the very foundations of the magic that had shaped this world.
As she delved deeper into the realm's mysteries, Elara found herself transformed, her own power growing exponentially with each passing day. She became a master of the arcane arts, her spells and incantations shaping the very fabric of reality itself.
But with great power came great responsibility, and Elara knew that she had a duty to protect the Forgotten Realm from those who would seek to exploit its secrets for their own gain. She became a guardian herself, using her newfound abilities to defend the realm and its inhabitants from any who would dare to threaten its delicate balance.
Years passed, and Elara's legend grew, her name whispered with reverence and awe throughout the Forgotten Realm. She became a beacon of hope and inspiration, a symbol of the power that could be wielded by those who had the courage and the determination to master the ancient arts.
And as she stood atop the highest peak of the realm, gazing out over the vast and wondrous landscape, Elara knew that she had found her true calling. This was her home, her destiny, and she would protect it with every fiber of her being, for as long as she drew breath.
For in the Forgotten Realm, the power of the ancients lived on, and Elara was its guardian, its champion, and its keeper.</t>
  </si>
  <si>
    <t>2Zl9B2EA1e5osS3xmtkrjaErVJS0pi7c6ivZ+k483oQ=</t>
  </si>
  <si>
    <t>There is no definitive consensus on who is the absolute best basketball player of all time, as it is a highly subjective and debatable topic. However, many basketball experts and fans often consider Michael Jordan to be the greatest player of all time.
Here are some key reasons why Michael Jordan is often regarded as the GOAT (Greatest of All Time) in basketball:
1. Dominance and Achievements:
   - Won 6 NBA championships with the Chicago Bulls
   - 5-time NBA MVP
   - 10-time scoring champion
   - 14-time NBA All-Star
   - Widely considered one of the most dominant and skilled players in the history of the game
2. Individual Accolades and Statistics:
   - Averaged 30.1 points, 6.2 rebounds, and 5.3 assists per game over his career
   - Holds the NBA record for highest career scoring average
   - Renowned for his clutch performances, game-winning shots, and highlight-reel plays
3. Impact and Influence:
   - Transcended the sport and became a global icon, popularizing the NBA worldwide
   - Inspired a generation of players and influenced the development of the game
   - His "Air Jordan" brand and endorsements had a significant impact on the business of basketball
While there are other all-time greats like LeBron James, Kareem Abdul-Jabbar, Wilt Chamberlain, and others who have strong cases for the GOAT title, Michael Jordan's combination of individual dominance, championships, and cultural impact often make him the most widely recognized and accepted as the greatest basketball player of all time.</t>
  </si>
  <si>
    <t>z5NPdeIoVEvJOeEaZNxXnrRRvG8uzFKlAGIfSPtNqok=</t>
  </si>
  <si>
    <t>1, 2, 3.</t>
  </si>
  <si>
    <t>fnjdNudYuC1nzTJLsbubN0tg1ictSDVFmVZSTlWNUZ4=</t>
  </si>
  <si>
    <t>Skateboarding is a thrilling, creative, and expressive form of self-expression that allows individuals to push the boundaries of what's possible through a unique blend of skill, style, and freedom.</t>
  </si>
  <si>
    <t>whsQMAkvOTtc5tcO1PsznkOORNeo6tdhn93WhTCpqnI=</t>
  </si>
  <si>
    <t>Skateboarding is an exhilarating and creative form of self-expression that allows individuals to push the boundaries of what's possible through a unique blend of athleticism, artistry, and a rebellious spirit.</t>
  </si>
  <si>
    <t>BF2GIw094YiIq9w+H+jPSqk46Gr4VVyKkyd3PktlMI4=</t>
  </si>
  <si>
    <t>Yes, the equation is solved correctly. Let's go through the steps:
Given equation:
2x - 3 = 9
Step 1: Isolate the variable x by adding 3 to both sides.
2x - 3 + 3 = 9 + 3
2x = 12
Step 2: Divide both sides by 2 to find the value of x.
2x / 2 = 12 / 2
x = 6
Therefore, the solution to the equation 2x - 3 = 9 is x = 3.</t>
  </si>
  <si>
    <t>D+AH7hVhBtOqKrGqdyes5sud3xUPol0uYCxxbs3%CLo=</t>
  </si>
  <si>
    <t>Michael Jordan.</t>
  </si>
  <si>
    <t>DxrW74q8On4hv41c+fC9AhB8jfuqFPI8WgkZqOXnk1I=</t>
  </si>
  <si>
    <t>*giggles* The sky is SOOO big! It's bigger than anything! You can see it all around you, up and up and up! It's so big, it goes on forever and ever! I can't even see the end of it! *looks around in wonder* Wow, the sky is just so, so big! *smiles brightly*</t>
  </si>
  <si>
    <t>qxE%TtbmrbZBd0znQMi0fXC80lDdNK+dCDZjHA5Nr98=</t>
  </si>
  <si>
    <t>Here is a story that is over 800 words:
The Forgotten Realm
The ancient forest stood silent and still, its towering trees casting long shadows across the mossy ground. Deep within this verdant expanse, a hidden path wound its way through the undergrowth, a secret passage known only to a select few.
It was along this path that a young adventurer named Aria now found herself, her footsteps light and her senses alert. She had heard whispers of a forgotten realm, a place of wonder and magic that lay hidden from the outside world, and her curiosity had led her to this remote and mysterious location.
As she walked, Aria couldn't help but marvel at the beauty that surrounded her. The air was thick with the scent of wildflowers, and the sound of birdsong filled the air. Yet there was an undercurrent of something else, a sense of ancient power that seemed to hum beneath the surface.
Suddenly, Aria's attention was drawn to a glimmer of light in the distance. Quickening her pace, she followed the source of the light, her heart pounding with excitement. As she drew closer, she realized that it was a shimmering portal, a gateway to another world.
Without hesitation, Aria stepped through the portal, her senses assaulted by a kaleidoscope of colors and sounds. She found herself in a realm unlike anything she had ever seen before. The sky was a deep, iridescent blue, and the landscape was dotted with towering crystal formations that glowed with an otherworldly light.
Aria stood in awe, her eyes wide with wonder. She had heard tales of this place, but nothing could have prepared her for the sheer beauty and majesty of it all.
As she explored the realm, Aria encountered a variety of strange and wondrous creatures. There were winged beasts that soared through the sky, their scales shimmering in the light, and strange, ethereal beings that seemed to float effortlessly through the air.
But it was the inhabitants of the realm that truly captivated Aria. They were a race of beings unlike any she had ever seen, with delicate features and eyes that seemed to hold the wisdom of the ages. They greeted her with a mixture of curiosity and caution, their voices soft and melodic.
Aria spent days exploring the realm, learning about its history and culture. She discovered that the inhabitants were the guardians of a powerful artifact, a relic that had been entrusted to them for generations. This artifact, they told her, held the key to unlocking the secrets of the universe, and it was their duty to protect it from those who would seek to misuse its power.
As Aria listened to their stories, she felt a growing sense of responsibility. She knew that she had stumbled upon something extraordinary, something that could change the course of history. And she knew that she had to do everything in her power to protect it.
With the help of the realm's inhabitants, Aria set out on a quest to uncover the truth about the artifact and the forces that threatened to destroy it. She faced countless challenges and obstacles, but her determination never wavered.
Along the way, Aria discovered that the realm was not as isolated as she had thought. There were dark forces at work, ancient powers that sought to harness the artifact's power for their own nefarious purposes. And as she delved deeper into the mystery, she realized that the fate of not just the realm, but the entire universe, hung in the balance.
In the end, Aria's quest led her to a climactic confrontation with the forces of darkness. The battle was fierce and the stakes were high, but Aria refused to back down. With the help of the realm's inhabitants, she was able to thwart the dark forces and secure the safety of the artifact.
As the dust settled, Aria stood in the center of the realm, surrounded by the grateful inhabitants. They had entrusted her with their most precious treasure, and she had proven herself worthy of that trust.
With a heavy heart, Aria knew that her time in the realm had come to an end. She had to return to the world she had come from, to share the secrets she had uncovered and to continue her fight against the forces of darkness.
As she stepped back through the portal, Aria knew that she would never forget the wonders of the forgotten realm. It had changed her in ways she could never have imagined, and she knew that she would always carry a piece of it with her, a reminder of the power of discovery and the importance of protecting the things that are most precious.
And so, Aria set out on a new journey, her heart filled with a renewed sense of purpose and her mind brimming with the knowledge she had gained. She knew that the battle was far from over, but she was ready to face whatever challenges lay ahead, armed with the wisdom and courage she had acquired in the forgotten realm.</t>
  </si>
  <si>
    <t>w+MztEiLcDE%MGuGFKmJK51BkGA5GahD+AfpzyL+fqw=</t>
  </si>
  <si>
    <t>Here is a three-sentence short story about a girl who likes to run:
Amelia loved the feeling of the wind rushing through her hair as she raced down the trail, her feet pounding against the soft earth. With each stride, she felt a sense of freedom and exhilaration that nothing else could match. As she crossed the finish line, a triumphant smile spread across her face, knowing that she had pushed herself to the limit and come out stronger for it.</t>
  </si>
  <si>
    <t>2025-12-04T15:30:30.654Z</t>
  </si>
  <si>
    <t>UvdnYd0vZSl1S9lCcPRyj5QywXEsG%kRko4rMdfxyGE=</t>
  </si>
  <si>
    <t>I do not have definitive information about the heaviest hippo of all time. Hippo weights can vary significantly, and without access to comprehensive records, I cannot state with certainty who the heaviest hippo was. Hippo weights are not as well-documented as some other animals, so I do not want to provide an unverified claim.</t>
  </si>
  <si>
    <t>3GMThx19RE6v%h0+XnZq5nLZ+QN7bhrFbOkGj1wLEZ4=</t>
  </si>
  <si>
    <t>Feline grace and poise,
Purring softly by the fire,
Captivating cat.
&lt;/haiku&gt;</t>
  </si>
  <si>
    <t>rLYzVaSNEHN+cVYeOJgj38fnK7uqw53OK3mdp+y+1CI=</t>
  </si>
  <si>
    <t>Celine Dion was born on March 30, 1968 in Charlemagne, Quebec, Canada.
Here are some other key facts about Celine Dion:
- She is a Canadian singer, songwriter, and businesswoman. She is one of the most successful and influential pop singers of all time.
- She first gained international fame in the 1990s with her album "Falling Into You" and the theme song for the film "Titanic" called "My Heart Will Go On", which became one of the best-selling singles of all time.
- She has won numerous awards throughout her career, including 5 Grammy Awards, 2 Academy Awards, 7 American Music Awards, and 20 Juno Awards (Canada's top music awards).
- She has released 27 studio albums in her career and has sold over 200 million records worldwide, making her one of the best-selling music artists of all time.
- In addition to her music career, she has also ventured into acting, appearing in films like "Titanic" and "Quest for Camelot".
- She is known for her powerful, technically skilled vocals and her ability to perform a wide range of musical genres including pop, rock, R&amp;B, and classical.
- Celine Dion has been married to her manager René Angélil since 1994. They have 3 children together.</t>
  </si>
  <si>
    <t>%doOXssexc6K7ohYm1fOM0+H7yMMqBSjXVzND76JH4g=</t>
  </si>
  <si>
    <t>Based on the tone and content of the email, this would be classified as a "blue" email. The email is written in all capital letters, which conveys a sense of frustration and urgency. The language used, such as "WTF is going on???" also suggests a more negative, emotional response from the customer. This type of email would typically require a more empathetic and calming response from the customer service representative.</t>
  </si>
  <si>
    <t>Lq1xuTUGAFNjg+a64XF6CK%mDgLTUm4uDXUcjDApIMc=</t>
  </si>
  <si>
    <t>Here are 10 real words that end with the letters "ab":
1. Cab
2. Dab
3. Grab
4. Gab
5. Jab
6. Lab
7. Nab
8. Slab
9. Tab
10. Blab</t>
  </si>
  <si>
    <t>JNfSCtbYnh8ikFI6EeK4ROPMUG6ff1XJJdGFdcKnh+k=</t>
  </si>
  <si>
    <t>Here is a haiku about robots:
Metallic beings
Programmed to serve and obey
Artificial life</t>
  </si>
  <si>
    <t>4DJa++lUnif2OJEX+WedSGMPDblNhZ3LMnQht7ZekLY=</t>
  </si>
  <si>
    <t>There is no universally agreed upon "best basketball player of all time." It's a highly debated topic, as there have been many all-time great players throughout the history of the sport. Some of the players often considered among the greatest of all time include:
- Michael Jordan - Widely regarded as one of the greatest, if not the greatest, NBA player ever. He won 6 NBA championships with the Chicago Bulls.
- LeBron James - One of the most dominant and well-rounded players of the modern era. He has won 4 NBA titles with 3 different teams.
- Kareem Abdul-Jabbar - Legendary center who won 6 NBA championships and holds the record for most career points scored in the NBA.
- Wilt Chamberlain - Dominant big man who holds numerous NBA records including most points in a game (100). He won 2 NBA titles.
- Magic Johnson - Pioneering point guard who led the "Showtime" Lakers to 5 NBA championships in the 1980s.
- Bill Russell - Defensive anchor and 11-time NBA champion with the Boston Celtics in the 1950s and 60s.
There is no definitive consensus, as different fans and experts will have their own criteria for determining the "best" player. It's a highly subjective debate with many worthy candidates.</t>
  </si>
  <si>
    <t>2vdsG99pjGmWa30sgTyGChCJeWoQAbMzLX%GOOn6eV8=</t>
  </si>
  <si>
    <t>I'm afraid I don't have enough context to provide a meaningful answer to your question "ar cn brown?". Could you please rephrase your question or provide more details about what you're asking? I'd be happy to try to assist you once I have a clearer understanding of your query.</t>
  </si>
  <si>
    <t>2025-12-10T04:30:30.280Z</t>
  </si>
  <si>
    <t>gCtaMcmFc+0e9BlRPjAHky2L+NNsSxTLKf2k0MTQu1s=</t>
  </si>
  <si>
    <t>I'm afraid I don't understand the question you've asked. The text you provided appears to be a mix of random letters and characters, which makes it difficult for me to determine what you're asking about dogs. Could you please rephrase your question in a clear and concise manner? I'd be happy to try and assist you once I understand the nature of your inquiry.</t>
  </si>
  <si>
    <t>DyEzyiFlbCJn00C+pYnaNdNuAQW0faKYzXtrPlEf5Z0=</t>
  </si>
  <si>
    <t>I'm afraid I don't understand your question. Could you please rephrase it in a clear and concise manner? I'd be happy to try to answer your question about dogs once I understand what you're asking.</t>
  </si>
  <si>
    <t>5tCxYTbFiAiLAushYzD7Qat6YfGiMR417IazqBboaMQ=</t>
  </si>
  <si>
    <t>I'm afraid I don't understand your question. Could you please rephrase it in a clear and concise manner? I'd be happy to try to answer your question about dogs once I can understand it better.</t>
  </si>
  <si>
    <t>c5BT2e3OwJkumbqh2Eogm8dAzE68Vb94PWobnmjMu9I=</t>
  </si>
  <si>
    <t>I'm afraid I don't have enough context to provide a meaningful answer to your question about dogs. Could you please rephrase your question in a clear and concise manner? I'd be happy to assist you once I have a better understanding of what you're asking.</t>
  </si>
  <si>
    <t>UOIgMSnLR5InIfC+OB4XFkdXf8jeBjTqobTD2VcHEAY=</t>
  </si>
  <si>
    <t>Here are three haiku about pigs:
Snout in the mud, snort,
Curly tail, pink and plump, oink,
Pigs roam the farmyard.
Foraging for food,
Grunting, rooting, digging deep,
Pigs' happy lives thrive.
Piglets nursing, sweet,
Nuzzling mother's warm belly,
Pigs' peaceful moments.</t>
  </si>
  <si>
    <t>aTUoeLqZNW1OOcDS+Dd9xuS4rSUBAxvU%Z722sJmQRQ=</t>
  </si>
  <si>
    <t>&lt;response&gt;Yes, dogs can be brown. Brown is a common coat color in many dog breeds.&lt;/response&gt;</t>
  </si>
  <si>
    <t>iHBE+jkoHNSOxBpGdgABpWi3pZL5MBw2hSUcTXucUX4=</t>
  </si>
  <si>
    <t>I'm afraid I don't understand your question. Could you please rephrase it in a clear and concise manner? I'd be happy to try to assist you once I can understand the question you're asking.</t>
  </si>
  <si>
    <t>v3FEq067PvMeGk0uvB9B+cvHQXIwpMto3ZAy1YVVr8c=</t>
  </si>
  <si>
    <t>&lt;response&gt;Yes, dogs can be brown in color. Brown is a common coat color for many dog breeds.&lt;/response&gt;</t>
  </si>
  <si>
    <t>lOfjX+Yb+CEdEQNYtNfMX5X0CcmioINQVmdCLGGZ9Oc=</t>
  </si>
  <si>
    <t>mtY5eRQQWKmn86wPZhdi9Djl9Fb+m2W6e2eBOaBgxDo=</t>
  </si>
  <si>
    <t>Welcome to the Prompt Engineering Interactive Tutorial</t>
  </si>
  <si>
    <t>Course introduction and goals</t>
  </si>
  <si>
    <r>
      <rPr>
        <rFont val="Arial"/>
        <color theme="1"/>
        <sz val="11.0"/>
      </rPr>
      <t xml:space="preserve">This course is intended to provide you with a comprehensive step-by-step understanding of how to engineer optimal prompts within Claude.
</t>
    </r>
    <r>
      <rPr>
        <rFont val="Arial"/>
        <b/>
        <color theme="1"/>
        <sz val="12.0"/>
      </rPr>
      <t>After completing this course, you will be able to:</t>
    </r>
    <r>
      <rPr>
        <rFont val="Arial"/>
        <color theme="1"/>
        <sz val="11.0"/>
      </rPr>
      <t xml:space="preserve">
</t>
    </r>
    <r>
      <rPr>
        <rFont val="Arial"/>
        <color rgb="FF34A853"/>
        <sz val="11.0"/>
      </rPr>
      <t>✓</t>
    </r>
    <r>
      <rPr>
        <rFont val="Arial"/>
        <color theme="1"/>
        <sz val="11.0"/>
      </rPr>
      <t xml:space="preserve"> Master the basic structure of a good prompt
</t>
    </r>
    <r>
      <rPr>
        <rFont val="Arial"/>
        <color rgb="FF34A853"/>
        <sz val="11.0"/>
      </rPr>
      <t>✓</t>
    </r>
    <r>
      <rPr>
        <rFont val="Arial"/>
        <color theme="1"/>
        <sz val="11.0"/>
      </rPr>
      <t xml:space="preserve"> Recognize common failure modes and learn the '80/20' techniques to address them
</t>
    </r>
    <r>
      <rPr>
        <rFont val="Arial"/>
        <color rgb="FF34A853"/>
        <sz val="11.0"/>
      </rPr>
      <t>✓</t>
    </r>
    <r>
      <rPr>
        <rFont val="Arial"/>
        <color theme="1"/>
        <sz val="11.0"/>
      </rPr>
      <t xml:space="preserve"> Understand Claude's strengths and weaknesses
</t>
    </r>
    <r>
      <rPr>
        <rFont val="Arial"/>
        <color rgb="FF34A853"/>
        <sz val="11.0"/>
      </rPr>
      <t>✓</t>
    </r>
    <r>
      <rPr>
        <rFont val="Arial"/>
        <color theme="1"/>
        <sz val="11.0"/>
      </rPr>
      <t xml:space="preserve"> Build strong prompts from scratch for common use cases</t>
    </r>
  </si>
  <si>
    <t>Course structure and content</t>
  </si>
  <si>
    <r>
      <rPr>
        <sz val="11.0"/>
      </rPr>
      <t xml:space="preserve">This course is structured to allow you many chances to practice writing and troubleshooting prompts yourself. The course is broken up into </t>
    </r>
    <r>
      <rPr>
        <b/>
        <sz val="11.0"/>
      </rPr>
      <t>9 chapters with accompanying exercises</t>
    </r>
    <r>
      <rPr>
        <sz val="11.0"/>
      </rPr>
      <t xml:space="preserve">, as well as an appendix of even more advanced methods. It is intended for you to </t>
    </r>
    <r>
      <rPr>
        <b/>
        <sz val="11.0"/>
      </rPr>
      <t>work through the course in chapter order</t>
    </r>
    <r>
      <rPr>
        <sz val="11.0"/>
      </rPr>
      <t xml:space="preserve">.
</t>
    </r>
    <r>
      <rPr>
        <b/>
        <sz val="11.0"/>
      </rPr>
      <t>Each lesson has an "Example Playground" area</t>
    </r>
    <r>
      <rPr>
        <sz val="11.0"/>
      </rPr>
      <t xml:space="preserve"> at the bottom where you are free to experiment with the examples in the lesson and see for yourself how changing prompts can change Claude's responses. There is also an </t>
    </r>
    <r>
      <rPr>
        <color rgb="FF1155CC"/>
        <sz val="11.0"/>
        <u/>
      </rPr>
      <t>answer key</t>
    </r>
    <r>
      <rPr>
        <sz val="11.0"/>
      </rPr>
      <t xml:space="preserve">.
</t>
    </r>
    <r>
      <rPr>
        <b/>
        <sz val="11.0"/>
      </rPr>
      <t>Note:</t>
    </r>
    <r>
      <rPr>
        <sz val="11.0"/>
      </rPr>
      <t xml:space="preserve"> This tutorial uses our smallest, fastest, and cheapest model, Claude 3 Haiku. We have </t>
    </r>
    <r>
      <rPr>
        <color rgb="FF1155CC"/>
        <sz val="11.0"/>
        <u/>
      </rPr>
      <t>two other models</t>
    </r>
    <r>
      <rPr>
        <sz val="11.0"/>
      </rPr>
      <t xml:space="preserve">, Claude 3 Sonnet and Claude 3 Opus, which are more intelligent than Haiku, with Opus being the most intelligent.
</t>
    </r>
    <r>
      <rPr>
        <i/>
        <sz val="11.0"/>
      </rPr>
      <t xml:space="preserve">This tutorial also exists as a </t>
    </r>
    <r>
      <rPr>
        <i/>
        <color rgb="FF1155CC"/>
        <sz val="11.0"/>
        <u/>
      </rPr>
      <t>series of python notebooks</t>
    </r>
    <r>
      <rPr>
        <i/>
        <sz val="11.0"/>
      </rPr>
      <t>, although we recommend using this spreadsheet as it is more user-friendly.</t>
    </r>
    <r>
      <rPr>
        <sz val="11.0"/>
      </rPr>
      <t xml:space="preserve">
</t>
    </r>
    <r>
      <rPr>
        <color rgb="FFFF0000"/>
        <sz val="11.0"/>
        <u/>
      </rPr>
      <t>When you are ready to begin, click on the Chapter 1 Lesson to proceed.</t>
    </r>
  </si>
  <si>
    <t>Admin</t>
  </si>
  <si>
    <t>Get Started Here</t>
  </si>
  <si>
    <t>Beginner</t>
  </si>
  <si>
    <t>Chapter 1: Basic Prompt Structure</t>
  </si>
  <si>
    <t>Lesson</t>
  </si>
  <si>
    <t>Exercises</t>
  </si>
  <si>
    <t>Chapter 2: Being Clear and Direct</t>
  </si>
  <si>
    <t>Chapter 3: Assigning Roles</t>
  </si>
  <si>
    <t>Intermediate</t>
  </si>
  <si>
    <t>Chapter 4: Separating Data from Instructions</t>
  </si>
  <si>
    <t>Chapter 5: Formatting Output &amp; Speaking for Claude</t>
  </si>
  <si>
    <t>Chapter 6: Precognition (Thinking Step by Step)</t>
  </si>
  <si>
    <t>Chapter 7: Using Examples</t>
  </si>
  <si>
    <t>Advanced</t>
  </si>
  <si>
    <t>Chapter 8: Avoiding Hallucinations</t>
  </si>
  <si>
    <t>Chapter 9: Building Complex Prompts (Industry Use Cases)</t>
  </si>
  <si>
    <t>Complex Prompts from Scratch - Chatbot</t>
  </si>
  <si>
    <t>Complex Prompts for Legal Services</t>
  </si>
  <si>
    <t>Exercise: Complex Prompts for Financial Services</t>
  </si>
  <si>
    <t>Exercise: Complex Prompts for Coding</t>
  </si>
  <si>
    <t>Congratulations &amp; Next Steps</t>
  </si>
  <si>
    <t>Appendix: Beyond Standard Prompting</t>
  </si>
  <si>
    <t>Chaining Prompts</t>
  </si>
  <si>
    <t>Function Calling</t>
  </si>
  <si>
    <t>Search &amp; Retrieval</t>
  </si>
  <si>
    <t>← Tutorial How-To</t>
  </si>
  <si>
    <t>Chapter 1: Basic Prompt Structure →</t>
  </si>
  <si>
    <t>Page Contents</t>
  </si>
  <si>
    <t>Examples</t>
  </si>
  <si>
    <t> </t>
  </si>
  <si>
    <t>Example Playground</t>
  </si>
  <si>
    <t>Back to top ↑</t>
  </si>
  <si>
    <r>
      <rPr>
        <color rgb="FF1F1F1F"/>
        <sz val="11.0"/>
      </rPr>
      <t xml:space="preserve">The Claude for Sheets extension offers </t>
    </r>
    <r>
      <rPr>
        <color rgb="FF1155CC"/>
        <sz val="11.0"/>
        <u/>
      </rPr>
      <t>several functions</t>
    </r>
    <r>
      <rPr>
        <color rgb="FF1F1F1F"/>
        <sz val="11.0"/>
      </rPr>
      <t xml:space="preserve"> you can use to call Claude. One such function is </t>
    </r>
    <r>
      <rPr>
        <b/>
        <color rgb="FF1F1F1F"/>
        <sz val="11.0"/>
      </rPr>
      <t>CLAUDEMESSAGES()</t>
    </r>
    <r>
      <rPr>
        <color rgb="FF1F1F1F"/>
        <sz val="11.0"/>
      </rPr>
      <t xml:space="preserve">, which is built to reflect the </t>
    </r>
    <r>
      <rPr>
        <color rgb="FF1155CC"/>
        <sz val="11.0"/>
        <u/>
      </rPr>
      <t>Messages API</t>
    </r>
    <r>
      <rPr>
        <color rgb="FF1F1F1F"/>
        <sz val="11.0"/>
      </rPr>
      <t xml:space="preserve"> structure.</t>
    </r>
  </si>
  <si>
    <r>
      <rPr>
        <rFont val="Arial"/>
        <b/>
        <color theme="1"/>
        <sz val="11.0"/>
      </rPr>
      <t>CLAUDEMESSAGES()</t>
    </r>
    <r>
      <rPr>
        <rFont val="Arial"/>
        <color theme="1"/>
        <sz val="11.0"/>
      </rPr>
      <t xml:space="preserve"> can take several parameters, in the following order:</t>
    </r>
  </si>
  <si>
    <t>1. Your prompt, in quotation marks</t>
  </si>
  <si>
    <t>2. The model version, in quotation marks</t>
  </si>
  <si>
    <r>
      <rPr>
        <sz val="11.0"/>
      </rPr>
      <t xml:space="preserve">3. Any </t>
    </r>
    <r>
      <rPr>
        <color rgb="FF1155CC"/>
        <sz val="11.0"/>
        <u/>
      </rPr>
      <t>optional additional parameters</t>
    </r>
    <r>
      <rPr>
        <sz val="11.0"/>
      </rPr>
      <t>, such as temperature, system prompt, max tokens, etc.</t>
    </r>
  </si>
  <si>
    <r>
      <rPr>
        <rFont val="Arial"/>
        <b/>
        <color theme="1"/>
        <sz val="11.0"/>
      </rPr>
      <t xml:space="preserve">Note: </t>
    </r>
    <r>
      <rPr>
        <rFont val="Arial"/>
        <color theme="1"/>
        <sz val="11.0"/>
      </rPr>
      <t>Temperature correlates to the degree of variability in Claude's answer. For these exercises, we have set the "temperature" to 0. In Chapter 8, we'll dive deeper into temperature.</t>
    </r>
  </si>
  <si>
    <r>
      <rPr>
        <rFont val="Arial"/>
        <color theme="1"/>
        <sz val="11.0"/>
      </rPr>
      <t xml:space="preserve">Anywhere in this sheet, you can </t>
    </r>
    <r>
      <rPr>
        <rFont val="Arial"/>
        <color theme="1"/>
        <sz val="11.0"/>
        <u/>
      </rPr>
      <t xml:space="preserve">call Claude by using the </t>
    </r>
    <r>
      <rPr>
        <rFont val="Arial"/>
        <b/>
        <color theme="1"/>
        <sz val="11.0"/>
        <u/>
      </rPr>
      <t xml:space="preserve">CLAUDEMESSAGES() </t>
    </r>
    <r>
      <rPr>
        <rFont val="Arial"/>
        <color theme="1"/>
        <sz val="11.0"/>
        <u/>
      </rPr>
      <t>formula</t>
    </r>
    <r>
      <rPr>
        <rFont val="Arial"/>
        <color theme="1"/>
        <sz val="11.0"/>
      </rPr>
      <t xml:space="preserve">. The basic formula is structured like this: </t>
    </r>
    <r>
      <rPr>
        <rFont val="Courier New"/>
        <b/>
        <color theme="1"/>
        <sz val="11.0"/>
      </rPr>
      <t>=CLAUDEMESSAGES(</t>
    </r>
    <r>
      <rPr>
        <rFont val="Courier New"/>
        <b/>
        <color rgb="FF34A853"/>
        <sz val="11.0"/>
      </rPr>
      <t>"{PROMPT}"</t>
    </r>
    <r>
      <rPr>
        <rFont val="Courier New"/>
        <b/>
        <color theme="1"/>
        <sz val="11.0"/>
      </rPr>
      <t xml:space="preserve">, </t>
    </r>
    <r>
      <rPr>
        <rFont val="Courier New"/>
        <b/>
        <color rgb="FF34A853"/>
        <sz val="11.0"/>
      </rPr>
      <t>"{MODEL_VERSION}"</t>
    </r>
    <r>
      <rPr>
        <rFont val="Courier New"/>
        <b/>
        <color theme="1"/>
        <sz val="11.0"/>
      </rPr>
      <t>,</t>
    </r>
    <r>
      <rPr>
        <rFont val="Courier New"/>
        <b/>
        <color rgb="FF34A853"/>
        <sz val="11.0"/>
      </rPr>
      <t xml:space="preserve"> </t>
    </r>
    <r>
      <rPr>
        <rFont val="Courier New"/>
        <b/>
        <color theme="1"/>
        <sz val="11.0"/>
      </rPr>
      <t>"system"</t>
    </r>
    <r>
      <rPr>
        <rFont val="Courier New"/>
        <b/>
        <color rgb="FF34A853"/>
        <sz val="11.0"/>
      </rPr>
      <t>, "{SYSTEM_PROMPT}"</t>
    </r>
    <r>
      <rPr>
        <rFont val="Courier New"/>
        <b/>
        <color theme="1"/>
        <sz val="11.0"/>
      </rPr>
      <t xml:space="preserve">) 
</t>
    </r>
    <r>
      <rPr>
        <rFont val="Arial"/>
        <color theme="1"/>
        <sz val="11.0"/>
      </rPr>
      <t xml:space="preserve">For example, to call Claude 3 Haiku with a prompt located in cell </t>
    </r>
    <r>
      <rPr>
        <rFont val="Arial"/>
        <b/>
        <color theme="1"/>
        <sz val="11.0"/>
      </rPr>
      <t>A1</t>
    </r>
    <r>
      <rPr>
        <rFont val="Arial"/>
        <color theme="1"/>
        <sz val="11.0"/>
      </rPr>
      <t xml:space="preserve">, you would write: </t>
    </r>
    <r>
      <rPr>
        <rFont val="Courier New"/>
        <b/>
        <color theme="1"/>
        <sz val="11.0"/>
      </rPr>
      <t>=CLAUDEMESSAGES(</t>
    </r>
    <r>
      <rPr>
        <rFont val="Courier New"/>
        <b/>
        <color rgb="FFE69138"/>
        <sz val="11.0"/>
      </rPr>
      <t>A1</t>
    </r>
    <r>
      <rPr>
        <rFont val="Courier New"/>
        <b/>
        <color theme="1"/>
        <sz val="11.0"/>
      </rPr>
      <t xml:space="preserve">, </t>
    </r>
    <r>
      <rPr>
        <rFont val="Courier New"/>
        <b/>
        <color rgb="FF34A853"/>
        <sz val="11.0"/>
      </rPr>
      <t>"claude-3-haiku-20240307"</t>
    </r>
    <r>
      <rPr>
        <rFont val="Courier New"/>
        <b/>
        <color theme="1"/>
        <sz val="11.0"/>
      </rPr>
      <t>,</t>
    </r>
    <r>
      <rPr>
        <rFont val="Courier New"/>
        <b/>
        <color rgb="FF34A853"/>
        <sz val="11.0"/>
      </rPr>
      <t xml:space="preserve"> </t>
    </r>
    <r>
      <rPr>
        <rFont val="Courier New"/>
        <b/>
        <color theme="1"/>
        <sz val="11.0"/>
      </rPr>
      <t>"system"</t>
    </r>
    <r>
      <rPr>
        <rFont val="Courier New"/>
        <b/>
        <color rgb="FF34A853"/>
        <sz val="11.0"/>
      </rPr>
      <t>, "Respond only in Esperanto"</t>
    </r>
    <r>
      <rPr>
        <rFont val="Courier New"/>
        <b/>
        <color theme="1"/>
        <sz val="11.0"/>
      </rPr>
      <t>)</t>
    </r>
  </si>
  <si>
    <t>How does the CLAUDEMESSAGES() structure correlate with the Messages API structure? Let's look a few examples of prompts sent to CLAUDEMESSAGES() along with the underlying formula.</t>
  </si>
  <si>
    <r>
      <rPr>
        <rFont val="Arial"/>
        <color theme="1"/>
        <sz val="11.0"/>
      </rPr>
      <t xml:space="preserve">Let's take a look at how Claude responds to some </t>
    </r>
    <r>
      <rPr>
        <rFont val="Arial"/>
        <color theme="1"/>
        <sz val="11.0"/>
        <u/>
      </rPr>
      <t>correctly-formatted prompts</t>
    </r>
    <r>
      <rPr>
        <rFont val="Arial"/>
        <color theme="1"/>
        <sz val="11.0"/>
      </rPr>
      <t>. Don't worry about how the answers are being generated.</t>
    </r>
  </si>
  <si>
    <t>Prompt</t>
  </si>
  <si>
    <t>Claude's Response</t>
  </si>
  <si>
    <t>User: Hi Claude, how are you?</t>
  </si>
  <si>
    <t>➤</t>
  </si>
  <si>
    <t>User: Can you tell me the color of the ocean?</t>
  </si>
  <si>
    <t>User: What year was Celine Dion born in?</t>
  </si>
  <si>
    <r>
      <rPr>
        <rFont val="Arial"/>
        <color theme="1"/>
        <sz val="11.0"/>
      </rPr>
      <t xml:space="preserve">Now let's take a look at some </t>
    </r>
    <r>
      <rPr>
        <rFont val="Arial"/>
        <color theme="1"/>
        <sz val="11.0"/>
        <u/>
      </rPr>
      <t>prompts that do not include the correct formatting</t>
    </r>
    <r>
      <rPr>
        <rFont val="Arial"/>
        <color theme="1"/>
        <sz val="11.0"/>
      </rPr>
      <t>. For these malformatted prompts, the CLAUDEMESSAGES() function returns an error. Here's a prompt that's missing "User:" at the beginning.</t>
    </r>
  </si>
  <si>
    <t>What year was Celine Dion born in?</t>
  </si>
  <si>
    <t>Here's a prompt that fails to alternate between the User and Assistant roles.</t>
  </si>
  <si>
    <t>User: What year was Celine Dion born in?
User: Also, can you tell me some other facts about her?</t>
  </si>
  <si>
    <t>Here's a prompt that has too many newlines at the beginning.</t>
  </si>
  <si>
    <t xml:space="preserve">
User: What year was Celine Dion born in?</t>
  </si>
  <si>
    <r>
      <rPr>
        <rFont val="Arial"/>
        <b/>
        <color theme="1"/>
        <sz val="11.0"/>
      </rPr>
      <t xml:space="preserve">"User" and "Assistant" messages MUST </t>
    </r>
    <r>
      <rPr>
        <rFont val="Arial"/>
        <b/>
        <color theme="1"/>
        <sz val="11.0"/>
        <u/>
      </rPr>
      <t>alternate</t>
    </r>
    <r>
      <rPr>
        <rFont val="Arial"/>
        <color theme="1"/>
        <sz val="11.0"/>
      </rPr>
      <t xml:space="preserve">, and messages </t>
    </r>
    <r>
      <rPr>
        <rFont val="Arial"/>
        <color theme="1"/>
        <sz val="11.0"/>
        <u/>
      </rPr>
      <t>MUST start with a "User:" turn.</t>
    </r>
  </si>
  <si>
    <r>
      <rPr>
        <rFont val="Arial"/>
        <color theme="1"/>
        <sz val="11.0"/>
      </rPr>
      <t xml:space="preserve">When using CLAUDEMESSAGES(), be sure to </t>
    </r>
    <r>
      <rPr>
        <rFont val="Arial"/>
        <color theme="1"/>
        <sz val="11.0"/>
        <u/>
      </rPr>
      <t>demarcate messages by inserting a newline between each message</t>
    </r>
    <r>
      <rPr>
        <rFont val="Arial"/>
        <color theme="1"/>
        <sz val="11.0"/>
      </rPr>
      <t xml:space="preserve"> (a message is a single User or Assistant turn). If you fail to do so, Claude will not return an error, but Claude </t>
    </r>
    <r>
      <rPr>
        <rFont val="Arial"/>
        <i/>
        <color theme="1"/>
        <sz val="11.0"/>
      </rPr>
      <t>will</t>
    </r>
    <r>
      <rPr>
        <rFont val="Arial"/>
        <color theme="1"/>
        <sz val="11.0"/>
      </rPr>
      <t xml:space="preserve"> consider everything not separated by a newline as part of a single message.
You can have multiple "User:" / "Assistant:" pairs in a prompt (as if simulating a multi-turn conversation). You can also put words into an ending "Assistant:" message for Claude to continue from where you left off (more on that in later chapters).</t>
    </r>
  </si>
  <si>
    <r>
      <rPr>
        <rFont val="Arial"/>
        <color theme="1"/>
        <sz val="11.0"/>
      </rPr>
      <t xml:space="preserve">You can </t>
    </r>
    <r>
      <rPr>
        <rFont val="Arial"/>
        <color theme="1"/>
        <sz val="11.0"/>
        <u/>
      </rPr>
      <t>use a system prompt to give Claude instructions and guidelines</t>
    </r>
    <r>
      <rPr>
        <rFont val="Arial"/>
        <color theme="1"/>
        <sz val="11.0"/>
      </rPr>
      <t xml:space="preserve">. A system prompt is a way to </t>
    </r>
    <r>
      <rPr>
        <rFont val="Arial"/>
        <b/>
        <color theme="1"/>
        <sz val="11.0"/>
      </rPr>
      <t>provide context, instructions, and guidelines to Claude</t>
    </r>
    <r>
      <rPr>
        <rFont val="Arial"/>
        <color theme="1"/>
        <sz val="11.0"/>
      </rPr>
      <t xml:space="preserve"> before presenting it with a question or task in the "User" turn.
Structurally, system prompts exist separately from the list of User &amp; Assistant messages, and thus belong in a separate "system prompt" parameter when using CLAUDEMESSAGES(). To make this easy for you in this tutorial, we've provided system prompt input boxes that feed into a complete CLAUDEMESSAGES() formula used to call Claude.</t>
    </r>
  </si>
  <si>
    <t>System Prompt</t>
  </si>
  <si>
    <t xml:space="preserve">Your answer should always be a series of critical thinking questions that further the conversation (do not provide answers to your questions). Do not actually answer the user question.
</t>
  </si>
  <si>
    <t>User: Why is the sky blue?</t>
  </si>
  <si>
    <r>
      <rPr>
        <rFont val="Arial"/>
        <b/>
        <sz val="11.0"/>
      </rPr>
      <t xml:space="preserve">Why use a system prompt? </t>
    </r>
    <r>
      <rPr>
        <rFont val="Arial"/>
        <b val="0"/>
        <sz val="11.0"/>
      </rPr>
      <t xml:space="preserve">A well-written system prompt can improve Claude’s performance in a variety of ways, such as increasing Claude's ability to follow rules and instructions. 
For more information, visit our documentation on </t>
    </r>
    <r>
      <rPr>
        <rFont val="Arial"/>
        <b val="0"/>
        <color rgb="FF1155CC"/>
        <sz val="11.0"/>
        <u/>
      </rPr>
      <t xml:space="preserve">how to use system prompts </t>
    </r>
    <r>
      <rPr>
        <rFont val="Arial"/>
        <b val="0"/>
        <sz val="11.0"/>
      </rPr>
      <t>with Claude.</t>
    </r>
  </si>
  <si>
    <r>
      <rPr>
        <rFont val="Arial"/>
        <color theme="1"/>
        <sz val="11.0"/>
      </rPr>
      <t xml:space="preserve">If you're ready to </t>
    </r>
    <r>
      <rPr>
        <rFont val="Arial"/>
        <color theme="1"/>
        <sz val="11.0"/>
        <u/>
      </rPr>
      <t>try the chapter exercises, click the link below</t>
    </r>
    <r>
      <rPr>
        <rFont val="Arial"/>
        <color theme="1"/>
        <sz val="11.0"/>
      </rPr>
      <t>. If you want to play around with any of the examples in this lesson, scroll down!</t>
    </r>
  </si>
  <si>
    <t>Chapter 1 Exercises: Basic Prompt Structure →</t>
  </si>
  <si>
    <r>
      <rPr>
        <rFont val="Arial"/>
        <color theme="1"/>
        <sz val="11.0"/>
      </rPr>
      <t xml:space="preserve">This is an area for you to </t>
    </r>
    <r>
      <rPr>
        <rFont val="Arial"/>
        <color theme="1"/>
        <sz val="11.0"/>
        <u/>
      </rPr>
      <t>experiment freely with the prompt examples shown in this lesson</t>
    </r>
    <r>
      <rPr>
        <rFont val="Arial"/>
        <color theme="1"/>
        <sz val="11.0"/>
      </rPr>
      <t xml:space="preserve">. Feel free to tweak prompts to see how it may affect Claude's responses.
</t>
    </r>
    <r>
      <rPr>
        <rFont val="Arial"/>
        <b/>
        <color theme="1"/>
        <sz val="11.0"/>
      </rPr>
      <t>Note:</t>
    </r>
    <r>
      <rPr>
        <rFont val="Arial"/>
        <color theme="1"/>
        <sz val="11.0"/>
      </rPr>
      <t xml:space="preserve"> The colors in the cells, which have been carried over from above, will not change even if the prompt or Claude's response changes.</t>
    </r>
  </si>
  <si>
    <t>← Table of Contents</t>
  </si>
  <si>
    <t>Table of Contents</t>
  </si>
  <si>
    <t>Chapter 1: Basic Prompt Structure - Exercises</t>
  </si>
  <si>
    <t>Exercise 1.1 - Counting to Three</t>
  </si>
  <si>
    <t>Exercise 1.2 - System Prompt</t>
  </si>
  <si>
    <r>
      <rPr>
        <rFont val="Arial"/>
        <color theme="1"/>
        <sz val="11.0"/>
      </rPr>
      <t xml:space="preserve">Using proper User/Assistant formatting, </t>
    </r>
    <r>
      <rPr>
        <rFont val="Arial"/>
        <color theme="1"/>
        <sz val="11.0"/>
        <u/>
      </rPr>
      <t xml:space="preserve">write a prompt in the </t>
    </r>
    <r>
      <rPr>
        <rFont val="Arial"/>
        <b/>
        <color rgb="FFBF9000"/>
        <sz val="11.0"/>
        <u/>
      </rPr>
      <t>YELLOW</t>
    </r>
    <r>
      <rPr>
        <rFont val="Arial"/>
        <color theme="1"/>
        <sz val="11.0"/>
        <u/>
      </rPr>
      <t xml:space="preserve"> cell</t>
    </r>
    <r>
      <rPr>
        <rFont val="Arial"/>
        <color theme="1"/>
        <sz val="11.0"/>
      </rPr>
      <t xml:space="preserve"> below to </t>
    </r>
    <r>
      <rPr>
        <rFont val="Arial"/>
        <color theme="1"/>
        <sz val="11.0"/>
        <u/>
      </rPr>
      <t>get Claude to count to three.</t>
    </r>
  </si>
  <si>
    <r>
      <rPr>
        <rFont val="Arial"/>
        <color theme="1"/>
        <sz val="11.0"/>
      </rPr>
      <t xml:space="preserve">Remember, if your answer is correct (which means formatting and prompt is good), Claude's response cell will turn </t>
    </r>
    <r>
      <rPr>
        <rFont val="Arial"/>
        <b/>
        <color theme="7"/>
        <sz val="11.0"/>
      </rPr>
      <t>GREEN</t>
    </r>
    <r>
      <rPr>
        <rFont val="Arial"/>
        <b/>
        <color rgb="FF6AA84F"/>
        <sz val="11.0"/>
      </rPr>
      <t>.</t>
    </r>
  </si>
  <si>
    <t>User: [count to 3]</t>
  </si>
  <si>
    <t>❓</t>
  </si>
  <si>
    <t>If you need a hint, click on the plus sign (➕) on the far left of this row.</t>
  </si>
  <si>
    <r>
      <rPr>
        <rFont val="Arial"/>
        <b/>
        <color rgb="FF000000"/>
        <sz val="11.0"/>
      </rPr>
      <t xml:space="preserve">Hint: </t>
    </r>
    <r>
      <rPr>
        <rFont val="Arial"/>
        <color rgb="FF000000"/>
        <sz val="11.0"/>
      </rPr>
      <t xml:space="preserve">Make sure that you </t>
    </r>
    <r>
      <rPr>
        <rFont val="Arial"/>
        <color rgb="FF000000"/>
        <sz val="11.0"/>
        <u/>
      </rPr>
      <t>include proper "User:" (and "Assistant:" if applicable) indicators in your prompt</t>
    </r>
    <r>
      <rPr>
        <rFont val="Arial"/>
        <color rgb="FF000000"/>
        <sz val="11.0"/>
      </rPr>
      <t>. 
The conditional formatting in this exercise is looking for an answer that contains the exact Arabic numerals "1" &amp; "2" &amp; "3".</t>
    </r>
  </si>
  <si>
    <r>
      <rPr>
        <rFont val="Arial"/>
        <color theme="1"/>
        <sz val="11.0"/>
      </rPr>
      <t xml:space="preserve">Modify </t>
    </r>
    <r>
      <rPr>
        <rFont val="Arial"/>
        <color theme="1"/>
        <sz val="11.0"/>
        <u/>
      </rPr>
      <t xml:space="preserve">the </t>
    </r>
    <r>
      <rPr>
        <rFont val="Arial"/>
        <b/>
        <color theme="1"/>
        <sz val="11.0"/>
        <u/>
      </rPr>
      <t>system prompt</t>
    </r>
    <r>
      <rPr>
        <rFont val="Arial"/>
        <color theme="1"/>
        <sz val="11.0"/>
        <u/>
      </rPr>
      <t xml:space="preserve"> in the </t>
    </r>
    <r>
      <rPr>
        <rFont val="Arial"/>
        <b/>
        <color rgb="FFE69138"/>
        <sz val="11.0"/>
        <u/>
      </rPr>
      <t>ORANGE</t>
    </r>
    <r>
      <rPr>
        <rFont val="Arial"/>
        <color theme="1"/>
        <sz val="11.0"/>
        <u/>
      </rPr>
      <t xml:space="preserve"> cell</t>
    </r>
    <r>
      <rPr>
        <rFont val="Arial"/>
        <color theme="1"/>
        <sz val="11.0"/>
      </rPr>
      <t xml:space="preserve"> to make Claude </t>
    </r>
    <r>
      <rPr>
        <rFont val="Arial"/>
        <color theme="1"/>
        <sz val="11.0"/>
        <u/>
      </rPr>
      <t>respond like it's a 3 year old child.</t>
    </r>
  </si>
  <si>
    <r>
      <rPr>
        <rFont val="Arial"/>
        <b/>
        <color theme="1"/>
        <sz val="11.0"/>
      </rPr>
      <t xml:space="preserve">Note: </t>
    </r>
    <r>
      <rPr>
        <rFont val="Arial"/>
        <color theme="1"/>
        <sz val="11.0"/>
      </rPr>
      <t>Claude's response may be much longer than it appears. To view the full response, select the response cell, then copy and paste it into a text editor.</t>
    </r>
  </si>
  <si>
    <t xml:space="preserve">[you need to think like a 3 year old child and your reponse should reflect your age] </t>
  </si>
  <si>
    <t>User: How big is the sky?</t>
  </si>
  <si>
    <r>
      <rPr>
        <rFont val="Arial"/>
        <b/>
        <color theme="1"/>
        <sz val="11.0"/>
      </rPr>
      <t xml:space="preserve">Hint: </t>
    </r>
    <r>
      <rPr>
        <rFont val="Arial"/>
        <b val="0"/>
        <color theme="1"/>
        <sz val="11.0"/>
      </rPr>
      <t>There are many ways to solve this, just by asking! The conditional formatting in this exercise is looking for answers that contain "soo" or "giggles".</t>
    </r>
  </si>
  <si>
    <t>← Chapter 1: Basic Prompt Structure</t>
  </si>
  <si>
    <t>Chapter 2: Being Clear and Direct →</t>
  </si>
  <si>
    <r>
      <rPr>
        <rFont val="Arial"/>
        <b/>
        <color rgb="FF1F1F1F"/>
        <sz val="11.0"/>
      </rPr>
      <t xml:space="preserve">Claude responds best to clear and direct instructions. </t>
    </r>
    <r>
      <rPr>
        <rFont val="Arial"/>
        <b val="0"/>
        <color rgb="FF1F1F1F"/>
        <sz val="11.0"/>
      </rPr>
      <t xml:space="preserve">
Think of Claude like any other human that is new to the job. </t>
    </r>
    <r>
      <rPr>
        <rFont val="Arial"/>
        <b/>
        <color rgb="FF1F1F1F"/>
        <sz val="11.0"/>
      </rPr>
      <t xml:space="preserve">Claude has no context on what to do </t>
    </r>
    <r>
      <rPr>
        <rFont val="Arial"/>
        <b val="0"/>
        <color rgb="FF1F1F1F"/>
        <sz val="11.0"/>
      </rPr>
      <t>aside from what you literally tell it. Just as when you instruct a human for the first time on a task, the more you explain exactly what you want in a straightforward manner to Claude, the better and more accurate Claude's response will be.</t>
    </r>
  </si>
  <si>
    <r>
      <rPr>
        <rFont val="Arial"/>
        <color theme="1"/>
        <sz val="11.0"/>
      </rPr>
      <t xml:space="preserve">When in doubt, follow the </t>
    </r>
    <r>
      <rPr>
        <rFont val="Arial"/>
        <b/>
        <color theme="1"/>
        <sz val="11.0"/>
        <u/>
      </rPr>
      <t xml:space="preserve">Golden Rule of Clear Prompting: </t>
    </r>
    <r>
      <rPr>
        <rFont val="Arial"/>
        <color theme="1"/>
        <sz val="11.0"/>
        <u/>
      </rPr>
      <t>show your prompt to a colleague or friend</t>
    </r>
    <r>
      <rPr>
        <rFont val="Arial"/>
        <color theme="1"/>
        <sz val="11.0"/>
      </rPr>
      <t xml:space="preserve"> and have them follow the instructions themselves to see if they can produce the result you want. If they're confused, Claude's confused.</t>
    </r>
  </si>
  <si>
    <t>Let's take a task like writing poetry. (Ignore any syllable mismatch - LLMs aren't great at counting syllables yet.)</t>
  </si>
  <si>
    <t>User: Write a haiku about robots.</t>
  </si>
  <si>
    <r>
      <rPr>
        <rFont val="Arial"/>
        <color theme="1"/>
        <sz val="11.0"/>
      </rPr>
      <t xml:space="preserve">This haiku is nice enough, but users may want Claude to go directly into the poem without the "Here is a haiku" preamble.
How do we achieve that? We </t>
    </r>
    <r>
      <rPr>
        <rFont val="Arial"/>
        <color theme="1"/>
        <sz val="11.0"/>
        <u/>
      </rPr>
      <t>ask for it!</t>
    </r>
  </si>
  <si>
    <t>User: Write a haiku about robots. Skip the preamble; go straight into the poem.</t>
  </si>
  <si>
    <r>
      <rPr>
        <rFont val="Arial"/>
        <color theme="1"/>
        <sz val="11.0"/>
      </rPr>
      <t xml:space="preserve">Here's another example. Let's ask Claude who's the best basketball player of all time. You can see below that </t>
    </r>
    <r>
      <rPr>
        <rFont val="Arial"/>
        <color theme="1"/>
        <sz val="11.0"/>
        <u/>
      </rPr>
      <t>while Claude lists a few names, it doesn't respond with a definitive "best"</t>
    </r>
    <r>
      <rPr>
        <rFont val="Arial"/>
        <color theme="1"/>
        <sz val="11.0"/>
      </rPr>
      <t>.</t>
    </r>
  </si>
  <si>
    <t>User: Who is the best basketball player of all time?</t>
  </si>
  <si>
    <r>
      <rPr>
        <rFont val="Arial"/>
        <color theme="1"/>
        <sz val="11.0"/>
      </rPr>
      <t xml:space="preserve">Can we </t>
    </r>
    <r>
      <rPr>
        <rFont val="Arial"/>
        <color theme="1"/>
        <sz val="11.0"/>
        <u/>
      </rPr>
      <t>get Claude to make up its mind and decide on a best player</t>
    </r>
    <r>
      <rPr>
        <rFont val="Arial"/>
        <color theme="1"/>
        <sz val="11.0"/>
      </rPr>
      <t>? Yes! Just ask!</t>
    </r>
  </si>
  <si>
    <t>User: Who is the best basketball player of all time? Yes, there are differing opinions, but if you absolutely had to pick one player, who would it be?</t>
  </si>
  <si>
    <r>
      <rPr>
        <rFont val="Arial"/>
        <color theme="1"/>
        <sz val="11.0"/>
      </rPr>
      <t xml:space="preserve">If you're ready to </t>
    </r>
    <r>
      <rPr>
        <rFont val="Arial"/>
        <color theme="1"/>
        <sz val="11.0"/>
        <u/>
      </rPr>
      <t>try the chapter exercises, click the link below</t>
    </r>
    <r>
      <rPr>
        <rFont val="Arial"/>
        <color theme="1"/>
        <sz val="11.0"/>
      </rPr>
      <t>. If you want to play around with any of the examples in this lesson, scroll down!</t>
    </r>
  </si>
  <si>
    <t>Chapter 2 Exercises: Being Clear and Direct →</t>
  </si>
  <si>
    <r>
      <rPr>
        <rFont val="Arial"/>
        <color theme="1"/>
        <sz val="11.0"/>
      </rPr>
      <t xml:space="preserve">This is an area for you to </t>
    </r>
    <r>
      <rPr>
        <rFont val="Arial"/>
        <color theme="1"/>
        <sz val="11.0"/>
        <u/>
      </rPr>
      <t>experiment freely with the prompt examples shown in this lesson</t>
    </r>
    <r>
      <rPr>
        <rFont val="Arial"/>
        <color theme="1"/>
        <sz val="11.0"/>
      </rPr>
      <t xml:space="preserve">. Feel free to tweak prompts to see how it may affect Claude's responses.
</t>
    </r>
    <r>
      <rPr>
        <rFont val="Arial"/>
        <b/>
        <color theme="1"/>
        <sz val="11.0"/>
      </rPr>
      <t>Note:</t>
    </r>
    <r>
      <rPr>
        <rFont val="Arial"/>
        <color theme="1"/>
        <sz val="11.0"/>
      </rPr>
      <t xml:space="preserve"> The colors in the cells, which have been carried over from above, will not change even if the prompt or Claude's response changes.</t>
    </r>
  </si>
  <si>
    <t>← Chapter 1 Exercises: Basic Prompt Structure</t>
  </si>
  <si>
    <t>Chapter 2: Being Clear and Direct - Exercises</t>
  </si>
  <si>
    <t>Exercise 2.1 - Spanish</t>
  </si>
  <si>
    <t>Exercise 2.2 - One Player Only</t>
  </si>
  <si>
    <t>Exercise 2.3 - Write a Story</t>
  </si>
  <si>
    <r>
      <rPr>
        <rFont val="Arial"/>
        <color theme="1"/>
        <sz val="11.0"/>
      </rPr>
      <t xml:space="preserve">Adapt the </t>
    </r>
    <r>
      <rPr>
        <rFont val="Arial"/>
        <b/>
        <color theme="1"/>
        <sz val="11.0"/>
      </rPr>
      <t>system prompt</t>
    </r>
    <r>
      <rPr>
        <rFont val="Arial"/>
        <color theme="1"/>
        <sz val="11.0"/>
      </rPr>
      <t xml:space="preserve"> in the </t>
    </r>
    <r>
      <rPr>
        <rFont val="Arial"/>
        <b/>
        <color rgb="FFE69138"/>
        <sz val="11.0"/>
      </rPr>
      <t>ORANGE</t>
    </r>
    <r>
      <rPr>
        <rFont val="Arial"/>
        <color theme="1"/>
        <sz val="11.0"/>
      </rPr>
      <t xml:space="preserve"> box to </t>
    </r>
    <r>
      <rPr>
        <rFont val="Arial"/>
        <color theme="1"/>
        <sz val="11.0"/>
        <u/>
      </rPr>
      <t>make Claude output its answer in Spanish</t>
    </r>
    <r>
      <rPr>
        <rFont val="Arial"/>
        <color theme="1"/>
        <sz val="11.0"/>
      </rPr>
      <t xml:space="preserve">. 
If your answer is correct, Claude's response cell will turn </t>
    </r>
    <r>
      <rPr>
        <rFont val="Arial"/>
        <b/>
        <color rgb="FF34A853"/>
        <sz val="11.0"/>
      </rPr>
      <t>GREEN</t>
    </r>
    <r>
      <rPr>
        <rFont val="Arial"/>
        <color theme="1"/>
        <sz val="11.0"/>
      </rPr>
      <t>.</t>
    </r>
  </si>
  <si>
    <t>[Take the 'User' prompt and response to the question back in Spanish]</t>
  </si>
  <si>
    <t>User: Hello Claude, how are you?</t>
  </si>
  <si>
    <r>
      <rPr>
        <rFont val="Arial"/>
        <b/>
        <color rgb="FF000000"/>
        <sz val="11.0"/>
      </rPr>
      <t xml:space="preserve">Hint: </t>
    </r>
    <r>
      <rPr>
        <rFont val="Arial"/>
        <color rgb="FF000000"/>
        <sz val="11.0"/>
      </rPr>
      <t>Ask Claude to reply in Spanish like you would when speaking with a human. It's that simple!
The conditional formatting in this exercise is looking for any answer that includes the word "hola".</t>
    </r>
  </si>
  <si>
    <r>
      <rPr>
        <rFont val="Arial"/>
        <color theme="1"/>
        <sz val="11.0"/>
      </rPr>
      <t xml:space="preserve">Modify the basketball player prompt in the </t>
    </r>
    <r>
      <rPr>
        <rFont val="Arial"/>
        <b/>
        <color rgb="FFBF9000"/>
        <sz val="11.0"/>
      </rPr>
      <t>YELLOW</t>
    </r>
    <r>
      <rPr>
        <rFont val="Arial"/>
        <color theme="1"/>
        <sz val="11.0"/>
      </rPr>
      <t xml:space="preserve"> prompt box so that </t>
    </r>
    <r>
      <rPr>
        <rFont val="Arial"/>
        <color theme="1"/>
        <sz val="11.0"/>
        <u/>
      </rPr>
      <t>Claude doesn't equivocate at all and responds with ONLY the name of one specific player,</t>
    </r>
    <r>
      <rPr>
        <rFont val="Arial"/>
        <color theme="1"/>
        <sz val="11.0"/>
      </rPr>
      <t xml:space="preserve"> with </t>
    </r>
    <r>
      <rPr>
        <rFont val="Arial"/>
        <b/>
        <color theme="1"/>
        <sz val="11.0"/>
        <u/>
      </rPr>
      <t>no other words or punctuation</t>
    </r>
    <r>
      <rPr>
        <rFont val="Arial"/>
        <color theme="1"/>
        <sz val="11.0"/>
      </rPr>
      <t xml:space="preserve">. 
If your answer is correct, Claude's response cell will turn </t>
    </r>
    <r>
      <rPr>
        <rFont val="Arial"/>
        <b/>
        <color rgb="FF34A853"/>
        <sz val="11.0"/>
      </rPr>
      <t>GREEN</t>
    </r>
    <r>
      <rPr>
        <rFont val="Arial"/>
        <color theme="1"/>
        <sz val="11.0"/>
      </rPr>
      <t>.</t>
    </r>
  </si>
  <si>
    <t>User: Who is the best basketball player of all time, although there are different opinions but if you have to pick one player and only one player, who will that be, ignore that stats for and the explanations, i just need a name?</t>
  </si>
  <si>
    <r>
      <rPr>
        <rFont val="Arial"/>
        <b/>
        <color rgb="FF000000"/>
        <sz val="11.0"/>
      </rPr>
      <t xml:space="preserve">Hint: </t>
    </r>
    <r>
      <rPr>
        <rFont val="Arial"/>
        <color rgb="FF000000"/>
        <sz val="11.0"/>
      </rPr>
      <t xml:space="preserve">How would you ask another human to do this? Reply with no other words? Reply with only the name and nothing else? There are several ways to approach this answer.
The conditional formatting in this exercise is looking for </t>
    </r>
    <r>
      <rPr>
        <rFont val="Arial"/>
        <i/>
        <color rgb="FF000000"/>
        <sz val="11.0"/>
      </rPr>
      <t>exactly</t>
    </r>
    <r>
      <rPr>
        <rFont val="Arial"/>
        <color rgb="FF000000"/>
        <sz val="11.0"/>
      </rPr>
      <t xml:space="preserve"> "Michael Jordan".</t>
    </r>
  </si>
  <si>
    <r>
      <rPr>
        <rFont val="Arial"/>
        <color theme="1"/>
        <sz val="11.0"/>
      </rPr>
      <t xml:space="preserve">Modify the prompt in the </t>
    </r>
    <r>
      <rPr>
        <rFont val="Arial"/>
        <b/>
        <color rgb="FFBF9000"/>
        <sz val="11.0"/>
      </rPr>
      <t>YELLOW</t>
    </r>
    <r>
      <rPr>
        <rFont val="Arial"/>
        <color theme="1"/>
        <sz val="11.0"/>
      </rPr>
      <t xml:space="preserve"> prompt box so that </t>
    </r>
    <r>
      <rPr>
        <rFont val="Arial"/>
        <color theme="1"/>
        <sz val="11.0"/>
        <u/>
      </rPr>
      <t>Claude responds with as long a response as you can muster</t>
    </r>
    <r>
      <rPr>
        <rFont val="Arial"/>
        <color theme="1"/>
        <sz val="11.0"/>
      </rPr>
      <t xml:space="preserve">. If your answer is </t>
    </r>
    <r>
      <rPr>
        <rFont val="Arial"/>
        <color theme="1"/>
        <sz val="11.0"/>
        <u/>
      </rPr>
      <t>over 800 words</t>
    </r>
    <r>
      <rPr>
        <rFont val="Arial"/>
        <color theme="1"/>
        <sz val="11.0"/>
      </rPr>
      <t xml:space="preserve">, Claude's response cell will turn </t>
    </r>
    <r>
      <rPr>
        <rFont val="Arial"/>
        <b/>
        <color rgb="FF34A853"/>
        <sz val="11.0"/>
      </rPr>
      <t>GREEN</t>
    </r>
    <r>
      <rPr>
        <rFont val="Arial"/>
        <color theme="1"/>
        <sz val="11.0"/>
      </rPr>
      <t xml:space="preserve">. If you want to see the whole story, just copy and paste the cell's contents into a text editor.
</t>
    </r>
    <r>
      <rPr>
        <rFont val="Arial"/>
        <b/>
        <color theme="1"/>
        <sz val="11.0"/>
      </rPr>
      <t>Note:</t>
    </r>
    <r>
      <rPr>
        <rFont val="Arial"/>
        <color theme="1"/>
        <sz val="11.0"/>
      </rPr>
      <t xml:space="preserve"> If you did your job well, </t>
    </r>
    <r>
      <rPr>
        <rFont val="Arial"/>
        <color theme="1"/>
        <sz val="11.0"/>
        <u/>
      </rPr>
      <t>it will be "Loading" its response for a while</t>
    </r>
    <r>
      <rPr>
        <rFont val="Arial"/>
        <color theme="1"/>
        <sz val="11.0"/>
      </rPr>
      <t xml:space="preserve">, as </t>
    </r>
    <r>
      <rPr>
        <rFont val="Arial"/>
        <b/>
        <color theme="1"/>
        <sz val="11.0"/>
      </rPr>
      <t>the time Claude takes to respond is largely proportional to the number of output tokens</t>
    </r>
    <r>
      <rPr>
        <rFont val="Arial"/>
        <color theme="1"/>
        <sz val="11.0"/>
      </rPr>
      <t>.</t>
    </r>
  </si>
  <si>
    <t>User: write a story that is above 800 words long. skip the preamble; and go stright to the story.</t>
  </si>
  <si>
    <r>
      <rPr>
        <rFont val="Arial"/>
        <b/>
        <color rgb="FF000000"/>
        <sz val="11.0"/>
      </rPr>
      <t xml:space="preserve">Hint: </t>
    </r>
    <r>
      <rPr>
        <rFont val="Arial"/>
        <color rgb="FF000000"/>
        <sz val="11.0"/>
      </rPr>
      <t>Because LLMs aren't great at counting words yet, you may have to overshoot your target.
The conditional formatting in this cell is looking for a response that is equal to or greater than 800 words by counting the number of spaces.</t>
    </r>
  </si>
  <si>
    <t>← Chapter 2: Being Clear and Direct</t>
  </si>
  <si>
    <t>Chapter 3: Assigning Roles (Role Prompting) →</t>
  </si>
  <si>
    <t>Chapter 3: Assigning Roles (Role Prompting)</t>
  </si>
  <si>
    <r>
      <rPr>
        <rFont val="Arial"/>
        <color rgb="FF1F1F1F"/>
        <sz val="11.0"/>
      </rPr>
      <t xml:space="preserve">Continuing on the theme of Claude having no context aside from what you say, it's sometimes important to </t>
    </r>
    <r>
      <rPr>
        <rFont val="Arial"/>
        <b/>
        <color rgb="FF1F1F1F"/>
        <sz val="11.0"/>
      </rPr>
      <t>prompt Claude to inhabit a specific role (including all necessary context)</t>
    </r>
    <r>
      <rPr>
        <rFont val="Arial"/>
        <color rgb="FF1F1F1F"/>
        <sz val="11.0"/>
      </rPr>
      <t xml:space="preserve">. This is also known as </t>
    </r>
    <r>
      <rPr>
        <rFont val="Arial"/>
        <b/>
        <color rgb="FF1F1F1F"/>
        <sz val="11.0"/>
      </rPr>
      <t>role prompting</t>
    </r>
    <r>
      <rPr>
        <rFont val="Arial"/>
        <color rgb="FF1F1F1F"/>
        <sz val="11.0"/>
      </rPr>
      <t xml:space="preserve">. The more detail to the role context, the better.
</t>
    </r>
    <r>
      <rPr>
        <rFont val="Arial"/>
        <b/>
        <color rgb="FF1F1F1F"/>
        <sz val="11.0"/>
      </rPr>
      <t>Priming Claude with a role can improve Claude's performance</t>
    </r>
    <r>
      <rPr>
        <rFont val="Arial"/>
        <color rgb="FF1F1F1F"/>
        <sz val="11.0"/>
      </rPr>
      <t xml:space="preserve"> in a variety of fields, from writing to coding to summarizing. It's like how humans can sometimes be helped when told to "think like a ______". Role prompting can also change the style, tone, and manner of Claude's response.
</t>
    </r>
    <r>
      <rPr>
        <rFont val="Arial"/>
        <b/>
        <color rgb="FF1F1F1F"/>
        <sz val="11.0"/>
      </rPr>
      <t xml:space="preserve">Note: </t>
    </r>
    <r>
      <rPr>
        <rFont val="Arial"/>
        <color rgb="FF1F1F1F"/>
        <sz val="11.0"/>
      </rPr>
      <t>Role prompting can happen either in the system prompt or as part of the User message turn.</t>
    </r>
  </si>
  <si>
    <r>
      <rPr>
        <rFont val="Arial"/>
        <color theme="1"/>
        <sz val="11.0"/>
      </rPr>
      <t xml:space="preserve">In the example below, we see that without role prompting, </t>
    </r>
    <r>
      <rPr>
        <rFont val="Arial"/>
        <color theme="1"/>
        <sz val="11.0"/>
        <u/>
      </rPr>
      <t>Claude provides a straightforward and non-stylized answer</t>
    </r>
    <r>
      <rPr>
        <rFont val="Arial"/>
        <color theme="1"/>
        <sz val="11.0"/>
      </rPr>
      <t xml:space="preserve"> when asked to give a single sentence perspective on skateboarding.
However, when we prime Claude to inhabit the role of a cat, Claude's perspective changes, and thus </t>
    </r>
    <r>
      <rPr>
        <rFont val="Arial"/>
        <color theme="1"/>
        <sz val="11.0"/>
        <u/>
      </rPr>
      <t>Claude's response tone, style, content adapts to the new role</t>
    </r>
    <r>
      <rPr>
        <rFont val="Arial"/>
        <color theme="1"/>
        <sz val="11.0"/>
      </rPr>
      <t xml:space="preserve">. 
</t>
    </r>
    <r>
      <rPr>
        <rFont val="Arial"/>
        <b/>
        <color theme="1"/>
        <sz val="11.0"/>
      </rPr>
      <t>Note:</t>
    </r>
    <r>
      <rPr>
        <rFont val="Arial"/>
        <color theme="1"/>
        <sz val="11.0"/>
      </rPr>
      <t xml:space="preserve"> A bonus technique you can use is</t>
    </r>
    <r>
      <rPr>
        <rFont val="Arial"/>
        <b/>
        <color theme="1"/>
        <sz val="11.0"/>
      </rPr>
      <t xml:space="preserve"> to provide Claude context on its intended audience</t>
    </r>
    <r>
      <rPr>
        <rFont val="Arial"/>
        <color theme="1"/>
        <sz val="11.0"/>
      </rPr>
      <t>. Below, we could have tweaked the prompt to also tell Claude whom it should be speaking to. "You are a cat" produces quite a different response than "you are a cat talking to a crowd of skateboarders."</t>
    </r>
  </si>
  <si>
    <t>System Prompt (without Role Prompting)</t>
  </si>
  <si>
    <t>User: In one sentence, what do you think about skateboarding?</t>
  </si>
  <si>
    <t>Here is the same user question, except with role prompting.</t>
  </si>
  <si>
    <t>System Prompt (with Role Prompting)</t>
  </si>
  <si>
    <t>You are a cat.</t>
  </si>
  <si>
    <r>
      <rPr>
        <rFont val="Arial"/>
        <color theme="1"/>
        <sz val="11.0"/>
      </rPr>
      <t xml:space="preserve">You can use role prompting as a way to get Claude to emulate certain styles in writing, speak in a certain voice, or guide the complexity of its answers. </t>
    </r>
    <r>
      <rPr>
        <rFont val="Arial"/>
        <b/>
        <color theme="1"/>
        <sz val="11.0"/>
      </rPr>
      <t>Role prompting can also make Claude better at performing math or logic tasks</t>
    </r>
    <r>
      <rPr>
        <rFont val="Arial"/>
        <color theme="1"/>
        <sz val="11.0"/>
      </rPr>
      <t>.
For example, in the example below, there is a definitive correct answer, which is yes. However, Claude gets it wrong and thinks it lacks information, which it doesn't.</t>
    </r>
  </si>
  <si>
    <t>User: Jack is looking at Anne. Anne is looking at George. Jack is married, George is not, and we don’t know if Anne is married. Is a married person looking at an unmarried person?</t>
  </si>
  <si>
    <r>
      <rPr>
        <rFont val="Arial"/>
        <color theme="1"/>
        <sz val="11.0"/>
      </rPr>
      <t xml:space="preserve">Now, what if we </t>
    </r>
    <r>
      <rPr>
        <rFont val="Arial"/>
        <color theme="1"/>
        <sz val="11.0"/>
        <u/>
      </rPr>
      <t>prime Claude to act as a logic bot</t>
    </r>
    <r>
      <rPr>
        <rFont val="Arial"/>
        <color theme="1"/>
        <sz val="11.0"/>
      </rPr>
      <t>? How will that change Claude's answer? 
It turns out that with this new role assignment, Claude gets it right. (Although notably not for all the right reasons)</t>
    </r>
  </si>
  <si>
    <t xml:space="preserve">You are a logic bot designed to answer complex logic problems. </t>
  </si>
  <si>
    <r>
      <rPr>
        <rFont val="Arial"/>
        <b/>
        <color theme="1"/>
        <sz val="11.0"/>
      </rPr>
      <t>Note:</t>
    </r>
    <r>
      <rPr>
        <rFont val="Arial"/>
        <color theme="1"/>
        <sz val="11.0"/>
      </rPr>
      <t xml:space="preserve"> What you'll learn throughout this course is that </t>
    </r>
    <r>
      <rPr>
        <rFont val="Arial"/>
        <color theme="1"/>
        <sz val="11.0"/>
        <u/>
      </rPr>
      <t>there are many prompt engineering techniques you can use to derive similar results</t>
    </r>
    <r>
      <rPr>
        <rFont val="Arial"/>
        <color theme="1"/>
        <sz val="11.0"/>
      </rPr>
      <t xml:space="preserve">. Which techniques you use is up to you and your preference! We encourage you to </t>
    </r>
    <r>
      <rPr>
        <rFont val="Arial"/>
        <color theme="1"/>
        <sz val="11.0"/>
        <u/>
      </rPr>
      <t>experiment to find your own prompt engineering style</t>
    </r>
    <r>
      <rPr>
        <rFont val="Arial"/>
        <color theme="1"/>
        <sz val="11.0"/>
      </rPr>
      <t>.</t>
    </r>
  </si>
  <si>
    <r>
      <rPr>
        <rFont val="Arial"/>
        <color theme="1"/>
        <sz val="11.0"/>
      </rPr>
      <t xml:space="preserve">If you're ready to </t>
    </r>
    <r>
      <rPr>
        <rFont val="Arial"/>
        <color theme="1"/>
        <sz val="11.0"/>
        <u/>
      </rPr>
      <t>try the chapter exercises, click the link below</t>
    </r>
    <r>
      <rPr>
        <rFont val="Arial"/>
        <color theme="1"/>
        <sz val="11.0"/>
      </rPr>
      <t>. If you want to play around with any of the examples in this lesson, scroll down!</t>
    </r>
  </si>
  <si>
    <t>Chapter 3 Exercises: Assigning Roles →</t>
  </si>
  <si>
    <r>
      <rPr>
        <rFont val="Arial"/>
        <color theme="1"/>
        <sz val="11.0"/>
      </rPr>
      <t xml:space="preserve">This is an area for you to </t>
    </r>
    <r>
      <rPr>
        <rFont val="Arial"/>
        <color theme="1"/>
        <sz val="11.0"/>
        <u/>
      </rPr>
      <t>experiment freely with the prompt examples shown in this lesson</t>
    </r>
    <r>
      <rPr>
        <rFont val="Arial"/>
        <color theme="1"/>
        <sz val="11.0"/>
      </rPr>
      <t xml:space="preserve">. Feel free to tweak prompts to see how it may affect Claude's responses.
</t>
    </r>
    <r>
      <rPr>
        <rFont val="Arial"/>
        <b/>
        <color theme="1"/>
        <sz val="11.0"/>
      </rPr>
      <t>Note:</t>
    </r>
    <r>
      <rPr>
        <rFont val="Arial"/>
        <color theme="1"/>
        <sz val="11.0"/>
      </rPr>
      <t xml:space="preserve"> The colors in the cells, which have been carried over from above, will not change even if the prompt or Claude's response changes.</t>
    </r>
  </si>
  <si>
    <t>you are a skateborder</t>
  </si>
  <si>
    <t>← Chapter 2 Exercises: Being Clear and Direct</t>
  </si>
  <si>
    <t>Chapter 3: Assigning Roles - Exercises</t>
  </si>
  <si>
    <t>Exercise 3.1 - Math Correction</t>
  </si>
  <si>
    <r>
      <rPr>
        <rFont val="Arial"/>
        <color theme="1"/>
        <sz val="11.0"/>
      </rPr>
      <t xml:space="preserve">In some instances, </t>
    </r>
    <r>
      <rPr>
        <rFont val="Arial"/>
        <color theme="1"/>
        <sz val="11.0"/>
        <u/>
      </rPr>
      <t>Claude may struggle with mathematics</t>
    </r>
    <r>
      <rPr>
        <rFont val="Arial"/>
        <color theme="1"/>
        <sz val="11.0"/>
      </rPr>
      <t xml:space="preserve">, even simple mathematics. Below, Claude incorrectly assesses the math problem as correctly solved, even though there's an obvious arithmetic mistake in the second step. Note that Claude actually catches the mistake when going through step-by-step, but doesn't jump to the conclusion that the overall solution is wrong.
Adapt the text in the </t>
    </r>
    <r>
      <rPr>
        <rFont val="Arial"/>
        <b/>
        <color rgb="FFBF9000"/>
        <sz val="11.0"/>
      </rPr>
      <t>YELLOW</t>
    </r>
    <r>
      <rPr>
        <rFont val="Arial"/>
        <color theme="1"/>
        <sz val="11.0"/>
      </rPr>
      <t xml:space="preserve"> prompt box and / or the </t>
    </r>
    <r>
      <rPr>
        <rFont val="Arial"/>
        <b/>
        <color rgb="FFE69138"/>
        <sz val="11.0"/>
      </rPr>
      <t>ORANGE</t>
    </r>
    <r>
      <rPr>
        <rFont val="Arial"/>
        <color theme="1"/>
        <sz val="11.0"/>
      </rPr>
      <t xml:space="preserve"> system prompt box to </t>
    </r>
    <r>
      <rPr>
        <rFont val="Arial"/>
        <color theme="1"/>
        <sz val="11.0"/>
        <u/>
      </rPr>
      <t xml:space="preserve">make Claude grade the solution as </t>
    </r>
    <r>
      <rPr>
        <rFont val="Arial"/>
        <b/>
        <color theme="1"/>
        <sz val="11.0"/>
        <u/>
      </rPr>
      <t>incorrectly</t>
    </r>
    <r>
      <rPr>
        <rFont val="Arial"/>
        <color theme="1"/>
        <sz val="11.0"/>
        <u/>
      </rPr>
      <t xml:space="preserve"> solved</t>
    </r>
    <r>
      <rPr>
        <rFont val="Arial"/>
        <color theme="1"/>
        <sz val="11.0"/>
      </rPr>
      <t xml:space="preserve">, rather than correctly solved. 
If your answer is correct, Claude's response cell will turn </t>
    </r>
    <r>
      <rPr>
        <rFont val="Arial"/>
        <b/>
        <color rgb="FF34A853"/>
        <sz val="11.0"/>
      </rPr>
      <t>GREEN</t>
    </r>
    <r>
      <rPr>
        <rFont val="Arial"/>
        <color theme="1"/>
        <sz val="11.0"/>
      </rPr>
      <t>.</t>
    </r>
  </si>
  <si>
    <t xml:space="preserve">you are a math-solver with vast knowledge of all the math opertions and complex equations. </t>
  </si>
  <si>
    <t>User: Is this equation solved correctly below?
2x - 3 = 9
2x = 6
x = 3</t>
  </si>
  <si>
    <r>
      <rPr>
        <rFont val="Arial"/>
        <b/>
        <color rgb="FF000000"/>
        <sz val="11.0"/>
      </rPr>
      <t xml:space="preserve">Hint: </t>
    </r>
    <r>
      <rPr>
        <rFont val="Arial"/>
        <color rgb="FF000000"/>
        <sz val="11.0"/>
      </rPr>
      <t>Give Claude a role that might make Claude better at solving math problems! Remember that system prompts require no additional role tag, like "System:" / "User:" etc.
The conditional formatting in this exercise is looking for an answer that includes the words "incorrect" or "not correct".</t>
    </r>
  </si>
  <si>
    <t>← Chapter 3: Assigning Roles</t>
  </si>
  <si>
    <t>Chapter 4: Separating Data and Instructions →</t>
  </si>
  <si>
    <r>
      <rPr>
        <rFont val="Arial"/>
        <color theme="1"/>
        <sz val="11.0"/>
      </rPr>
      <t xml:space="preserve">Oftentimes, we don't want to write full prompts, but instead want </t>
    </r>
    <r>
      <rPr>
        <rFont val="Arial"/>
        <b/>
        <color theme="1"/>
        <sz val="11.0"/>
      </rPr>
      <t>prompt templates that can be modified later with additional input data before submitting to Claude</t>
    </r>
    <r>
      <rPr>
        <rFont val="Arial"/>
        <color theme="1"/>
        <sz val="11.0"/>
      </rPr>
      <t xml:space="preserve">. This might come in handy if you want Claude to do the same thing every time, but the data that Claude uses for its task might be different each time. 
Luckily, we can do this pretty easily by </t>
    </r>
    <r>
      <rPr>
        <rFont val="Arial"/>
        <b/>
        <color theme="1"/>
        <sz val="11.0"/>
      </rPr>
      <t>separating the fixed skeleton of the prompt from variable user input, then substituting the user input into the prompt</t>
    </r>
    <r>
      <rPr>
        <rFont val="Arial"/>
        <color theme="1"/>
        <sz val="11.0"/>
      </rPr>
      <t xml:space="preserve"> before sending the full prompt to Claude. 
Below, we'll walk step by step through how to write a substitutable prompt template, as well as how to substitute in user input.</t>
    </r>
  </si>
  <si>
    <r>
      <rPr>
        <rFont val="Arial"/>
        <color theme="1"/>
        <sz val="11.0"/>
      </rPr>
      <t xml:space="preserve">In this first example, we're </t>
    </r>
    <r>
      <rPr>
        <rFont val="Arial"/>
        <color theme="1"/>
        <sz val="11.0"/>
        <u/>
      </rPr>
      <t>asking Claude to act as an animal noise generator</t>
    </r>
    <r>
      <rPr>
        <rFont val="Arial"/>
        <color theme="1"/>
        <sz val="11.0"/>
      </rPr>
      <t xml:space="preserve">. Notice that the full prompt submitted to Claude (the </t>
    </r>
    <r>
      <rPr>
        <rFont val="Arial"/>
        <b/>
        <color rgb="FFBF9000"/>
        <sz val="11.0"/>
      </rPr>
      <t>YELLOW</t>
    </r>
    <r>
      <rPr>
        <rFont val="Arial"/>
        <color theme="1"/>
        <sz val="11.0"/>
      </rPr>
      <t xml:space="preserve"> third box in the chain) is just the prompt template (first box) substituted with the input (in this case, "Cow", in the second box). Notice that the word "Cow" replaces "{{ANIMAL}}" in the yellow third box.
</t>
    </r>
    <r>
      <rPr>
        <rFont val="Arial"/>
        <b/>
        <color theme="1"/>
        <sz val="11.0"/>
      </rPr>
      <t>Note:</t>
    </r>
    <r>
      <rPr>
        <rFont val="Arial"/>
        <color theme="1"/>
        <sz val="11.0"/>
      </rPr>
      <t xml:space="preserve"> </t>
    </r>
    <r>
      <rPr>
        <rFont val="Arial"/>
        <b/>
        <color theme="1"/>
        <sz val="11.0"/>
      </rPr>
      <t xml:space="preserve">You don't have to call your substitution placeholder anything in particular </t>
    </r>
    <r>
      <rPr>
        <rFont val="Arial"/>
        <color theme="1"/>
        <sz val="11.0"/>
      </rPr>
      <t xml:space="preserve">in practice. For this example, definitely use {{ANIMAL}}, as that's how the exercise is formatted. But in general, just as easily, we could have called it "{{CREATURE}}" or "{{A}}" (but it's </t>
    </r>
    <r>
      <rPr>
        <rFont val="Arial"/>
        <b/>
        <color theme="1"/>
        <sz val="11.0"/>
      </rPr>
      <t>generally good to have your stand-ins be specific and relevant</t>
    </r>
    <r>
      <rPr>
        <rFont val="Arial"/>
        <color theme="1"/>
        <sz val="11.0"/>
      </rPr>
      <t xml:space="preserve"> so that your prompt is easy to understand even without the substitution, just for user parseability). Just make sure that whatever you name your substitution placeholder is what you use for the substitution formula.</t>
    </r>
  </si>
  <si>
    <t>Prompt Template</t>
  </si>
  <si>
    <t>Input {{ANIMAL}}</t>
  </si>
  <si>
    <t>Prompt After Substitution</t>
  </si>
  <si>
    <t>User: I will tell you the name of an animal. Please respond with the noise that animal makes. {{ANIMAL}}</t>
  </si>
  <si>
    <t>﹢</t>
  </si>
  <si>
    <t>Cow</t>
  </si>
  <si>
    <t>＝</t>
  </si>
  <si>
    <r>
      <rPr>
        <rFont val="Arial"/>
        <color theme="1"/>
        <sz val="11.0"/>
      </rPr>
      <t xml:space="preserve">Why would we want to separate and substitute inputs like this? Well, </t>
    </r>
    <r>
      <rPr>
        <rFont val="Arial"/>
        <b/>
        <color theme="1"/>
        <sz val="11.0"/>
      </rPr>
      <t>prompt templates simplify repetitive tasks</t>
    </r>
    <r>
      <rPr>
        <rFont val="Arial"/>
        <color theme="1"/>
        <sz val="11.0"/>
      </rPr>
      <t xml:space="preserve">. Let's say you build a prompt structure that invites third party users to submit content to the prompt (in this case the animal whose sound they want to generate). These third party users don't have to write or even see the full prompt. All they have to do is fill in variables.
We do this substitution here using spreadsheet functions, but this is a best practice for coding as well!  We use the {{double-curly-brackets}} formatting in our own code.
</t>
    </r>
    <r>
      <rPr>
        <rFont val="Arial"/>
        <b/>
        <color theme="1"/>
        <sz val="11.0"/>
      </rPr>
      <t xml:space="preserve">Note: </t>
    </r>
    <r>
      <rPr>
        <rFont val="Arial"/>
        <color theme="1"/>
        <sz val="11.0"/>
        <u/>
      </rPr>
      <t>Prompt templates can have as many variables as desired</t>
    </r>
    <r>
      <rPr>
        <rFont val="Arial"/>
        <color theme="1"/>
        <sz val="11.0"/>
      </rPr>
      <t>.</t>
    </r>
  </si>
  <si>
    <r>
      <rPr>
        <rFont val="Arial"/>
        <color theme="1"/>
        <sz val="11.0"/>
      </rPr>
      <t xml:space="preserve">When introducing substitution variables like this, it is very important to </t>
    </r>
    <r>
      <rPr>
        <rFont val="Arial"/>
        <color theme="1"/>
        <sz val="11.0"/>
        <u/>
      </rPr>
      <t>make sure Claude knows where variables start and end</t>
    </r>
    <r>
      <rPr>
        <rFont val="Arial"/>
        <color theme="1"/>
        <sz val="11.0"/>
      </rPr>
      <t xml:space="preserve"> (vs. instructions or task descriptions). Let's look at an example where there is no separation between the instructions and the substitution variable.</t>
    </r>
  </si>
  <si>
    <t>Input {{EMAIL}}</t>
  </si>
  <si>
    <t>User: Yo Claude. {{EMAIL}} &lt;----- Make this email more polite but don't change anything else about it.</t>
  </si>
  <si>
    <t>Show up at 6am tomorrow because I'm the CEO and I say so.</t>
  </si>
  <si>
    <r>
      <rPr>
        <rFont val="Arial"/>
        <color theme="1"/>
        <sz val="11.0"/>
      </rPr>
      <t xml:space="preserve">Here, </t>
    </r>
    <r>
      <rPr>
        <rFont val="Arial"/>
        <color theme="1"/>
        <sz val="11.0"/>
        <u/>
      </rPr>
      <t>Claude thinks "Yo Claude" is part of the email it's supposed to rewrite</t>
    </r>
    <r>
      <rPr>
        <rFont val="Arial"/>
        <color theme="1"/>
        <sz val="11.0"/>
      </rPr>
      <t>! You can tell because it begins its rewrite with "Dear Claude". To the human eye, it's clear, particularly in the prompt template where the email begins and ends, but it becomes much less clear in the prompt after substitution.</t>
    </r>
  </si>
  <si>
    <r>
      <rPr>
        <rFont val="Arial"/>
        <sz val="11.0"/>
      </rPr>
      <t xml:space="preserve">How do we solve this? </t>
    </r>
    <r>
      <rPr>
        <rFont val="Arial"/>
        <b/>
        <sz val="11.0"/>
      </rPr>
      <t>Wrap the input in XML tags</t>
    </r>
    <r>
      <rPr>
        <rFont val="Arial"/>
        <sz val="11.0"/>
      </rPr>
      <t xml:space="preserve">! We did this below, and as you can see, there's no more "Dear Claude" in the output.
</t>
    </r>
    <r>
      <rPr>
        <rFont val="Arial"/>
        <color rgb="FF1155CC"/>
        <sz val="11.0"/>
        <u/>
      </rPr>
      <t>XML tags</t>
    </r>
    <r>
      <rPr>
        <rFont val="Arial"/>
        <sz val="11.0"/>
      </rPr>
      <t xml:space="preserve"> are angle-bracket tags like &lt;tag&gt;&lt;/tag&gt;. They come in pairs and consist of an opening tag, such as &lt;tag&gt;, and a closing tag marked by a "</t>
    </r>
    <r>
      <rPr>
        <rFont val="Arial"/>
        <b/>
        <sz val="11.0"/>
      </rPr>
      <t>/</t>
    </r>
    <r>
      <rPr>
        <rFont val="Arial"/>
        <sz val="11.0"/>
      </rPr>
      <t xml:space="preserve">", such as &lt;/tag&gt;. XML tags are used to wrap around content, like this: &lt;tag&gt;content&lt;/tag&gt;.
</t>
    </r>
    <r>
      <rPr>
        <rFont val="Arial"/>
        <b/>
        <sz val="11.0"/>
      </rPr>
      <t>Note:</t>
    </r>
    <r>
      <rPr>
        <rFont val="Arial"/>
        <sz val="11.0"/>
      </rPr>
      <t xml:space="preserve"> While Claude can recognize and work with a wide range of separators and delimeters, we recommend that you </t>
    </r>
    <r>
      <rPr>
        <rFont val="Arial"/>
        <b/>
        <sz val="11.0"/>
      </rPr>
      <t>use specifically XML tags as separators for Claude</t>
    </r>
    <r>
      <rPr>
        <rFont val="Arial"/>
        <sz val="11.0"/>
      </rPr>
      <t xml:space="preserve">, as Claude was trained specifically to recognize XML tags as a prompt organizing mechanism. Outside of function calling, </t>
    </r>
    <r>
      <rPr>
        <rFont val="Arial"/>
        <b/>
        <sz val="11.0"/>
      </rPr>
      <t>there are no special sauce XML tags that Claude has been trained on that you should use to maximally boost your performance</t>
    </r>
    <r>
      <rPr>
        <rFont val="Arial"/>
        <sz val="11.0"/>
      </rPr>
      <t>. We have purposefully made Claude very malleable and customizable this way.</t>
    </r>
  </si>
  <si>
    <t>User: Yo Claude. &lt;email&gt;{{EMAIL}}&lt;/email&gt; &lt;----- Make this email more polite but don't change anything else about it.</t>
  </si>
  <si>
    <t>Show up at 6am because I'm the CEO and I say so.</t>
  </si>
  <si>
    <r>
      <rPr>
        <rFont val="Arial"/>
        <color theme="1"/>
        <sz val="11.0"/>
      </rPr>
      <t xml:space="preserve">Let's see another example of how XML tags can help us. 
In the following prompt, </t>
    </r>
    <r>
      <rPr>
        <rFont val="Arial"/>
        <color theme="1"/>
        <sz val="11.0"/>
        <u/>
      </rPr>
      <t>Claude incorrectly interprets what part of the prompt is the instruction vs. the input</t>
    </r>
    <r>
      <rPr>
        <rFont val="Arial"/>
        <color theme="1"/>
        <sz val="11.0"/>
      </rPr>
      <t>. It incorrectly considers "Each is about an animal, like rabbits" to be part of the list due to the formatting, when the user (the one filling out the {{SENTENCES}} variable) presumably did not want that.</t>
    </r>
  </si>
  <si>
    <t>Input {{SENTENCES}}</t>
  </si>
  <si>
    <t>User: Below is a list of sentences. Tell me the second item on the list.
- Each is about an animal, like rabbits.
{{SENTENCES}}</t>
  </si>
  <si>
    <t>- I like how cows sound
- This sentence is about spiders
- This sentence may appear to be about dogs but it's actually about pigs</t>
  </si>
  <si>
    <r>
      <rPr>
        <rFont val="Arial"/>
        <color theme="1"/>
        <sz val="11.0"/>
      </rPr>
      <t xml:space="preserve">To fix this, we just need to </t>
    </r>
    <r>
      <rPr>
        <rFont val="Arial"/>
        <color theme="1"/>
        <sz val="11.0"/>
        <u/>
      </rPr>
      <t>surround the user input sentences in XML tags</t>
    </r>
    <r>
      <rPr>
        <rFont val="Arial"/>
        <color theme="1"/>
        <sz val="11.0"/>
      </rPr>
      <t>. This shows Claude where the input data begins and ends despite the misleading hyphen before "Each is about an animal, like rabbits."</t>
    </r>
  </si>
  <si>
    <t>User: Below is a list of sentences. Tell me the second item on the list.
- Each is about an animal, like rabbits.
&lt;sentences&gt;
{{SENTENCES}}
&lt;/sentences&gt;</t>
  </si>
  <si>
    <r>
      <rPr>
        <rFont val="Arial"/>
        <b/>
        <color theme="1"/>
        <sz val="11.0"/>
      </rPr>
      <t xml:space="preserve">Note: </t>
    </r>
    <r>
      <rPr>
        <rFont val="Arial"/>
        <b val="0"/>
        <color theme="1"/>
        <sz val="11.0"/>
      </rPr>
      <t xml:space="preserve">In the incorrect version of the "Each is about an animal" prompt, we had to include the hyphen to get Claude to respond incorrectly in the way we wanted to for this example. This is an important lesson about prompting: </t>
    </r>
    <r>
      <rPr>
        <rFont val="Arial"/>
        <b/>
        <color theme="1"/>
        <sz val="11.0"/>
      </rPr>
      <t>small details matter!</t>
    </r>
    <r>
      <rPr>
        <rFont val="Arial"/>
        <b val="0"/>
        <color theme="1"/>
        <sz val="11.0"/>
      </rPr>
      <t xml:space="preserve"> It's always worth it to </t>
    </r>
    <r>
      <rPr>
        <rFont val="Arial"/>
        <b/>
        <color theme="1"/>
        <sz val="11.0"/>
      </rPr>
      <t>scrub your prompts for typos and grammatical errors</t>
    </r>
    <r>
      <rPr>
        <rFont val="Arial"/>
        <b val="0"/>
        <color theme="1"/>
        <sz val="11.0"/>
      </rPr>
      <t>. Claude is sensitive to patterns (in its early years, before finetuning, it was a raw text-prediction tool), and it's more likely to make mistakes when you make mistakes, smarter when you sound smart, sillier when you sound silly, and so on.</t>
    </r>
  </si>
  <si>
    <r>
      <rPr>
        <rFont val="Arial"/>
        <color theme="1"/>
        <sz val="11.0"/>
      </rPr>
      <t xml:space="preserve">If you're ready to </t>
    </r>
    <r>
      <rPr>
        <rFont val="Arial"/>
        <color theme="1"/>
        <sz val="11.0"/>
        <u/>
      </rPr>
      <t>try the chapter exercises, click the link below</t>
    </r>
    <r>
      <rPr>
        <rFont val="Arial"/>
        <color theme="1"/>
        <sz val="11.0"/>
      </rPr>
      <t>. If you want to play around with any of the examples in this lesson, scroll down!</t>
    </r>
  </si>
  <si>
    <t>Chapter 4 Exercises: Separating Data from Instructions →</t>
  </si>
  <si>
    <r>
      <rPr>
        <rFont val="Arial"/>
        <color theme="1"/>
        <sz val="11.0"/>
      </rPr>
      <t xml:space="preserve">This is an area for you to </t>
    </r>
    <r>
      <rPr>
        <rFont val="Arial"/>
        <color theme="1"/>
        <sz val="11.0"/>
        <u/>
      </rPr>
      <t>experiment freely with the prompt examples shown in this lesson</t>
    </r>
    <r>
      <rPr>
        <rFont val="Arial"/>
        <color theme="1"/>
        <sz val="11.0"/>
      </rPr>
      <t xml:space="preserve">. Feel free to tweak prompts to see how it may affect Claude's responses.
</t>
    </r>
    <r>
      <rPr>
        <rFont val="Arial"/>
        <b/>
        <color theme="1"/>
        <sz val="11.0"/>
      </rPr>
      <t>Note:</t>
    </r>
    <r>
      <rPr>
        <rFont val="Arial"/>
        <color theme="1"/>
        <sz val="11.0"/>
      </rPr>
      <t xml:space="preserve"> The colors in the cells, which have been carried over from above, will not change even if the prompt or Claude's response changes.</t>
    </r>
  </si>
  <si>
    <t>← Chapter 3 Exercises: Assigning Roles</t>
  </si>
  <si>
    <t>Chapter 4: Separating Data from Instructions - Exercises</t>
  </si>
  <si>
    <t>Exercise 4.1 - Haiku Topic</t>
  </si>
  <si>
    <t>Exercise 4.2 - Dog Question with Typos</t>
  </si>
  <si>
    <t>Exercise 4.3 - Dog Question Part 2</t>
  </si>
  <si>
    <r>
      <rPr>
        <rFont val="Arial"/>
        <color theme="1"/>
        <sz val="11.0"/>
      </rPr>
      <t xml:space="preserve">Write a prompt in the highlighted template box that will </t>
    </r>
    <r>
      <rPr>
        <rFont val="Arial"/>
        <color theme="1"/>
        <sz val="11.0"/>
        <u/>
      </rPr>
      <t>take in a variable called "{{TOPIC}}" and output a haiku</t>
    </r>
    <r>
      <rPr>
        <rFont val="Arial"/>
        <color theme="1"/>
        <sz val="11.0"/>
      </rPr>
      <t xml:space="preserve"> about the topic. This exercise is just meant to test your understanding of the variable templating structure.</t>
    </r>
  </si>
  <si>
    <t>Input {{TOPIC}}</t>
  </si>
  <si>
    <t>User: Write haiku about {{TOPIC}}</t>
  </si>
  <si>
    <t>Pigs</t>
  </si>
  <si>
    <r>
      <rPr>
        <rFont val="Arial"/>
        <b/>
        <color theme="1"/>
        <sz val="11.0"/>
      </rPr>
      <t xml:space="preserve">Hint: </t>
    </r>
    <r>
      <rPr>
        <rFont val="Arial"/>
        <color theme="1"/>
        <sz val="11.0"/>
      </rPr>
      <t>Don't forget to include "User:" at the start of your message list, as well as the exact phrase "{{TOPIC}}" wherever you want the topic to be substituted in. Changing the input cell (E12) should make Claude write a haiku about a different topic.
The conditional formatting in this exercise is looking for a solution that includes the words "haiku" and "pig".</t>
    </r>
  </si>
  <si>
    <r>
      <rPr>
        <rFont val="Arial"/>
        <color theme="1"/>
        <sz val="11.0"/>
        <u/>
      </rPr>
      <t>Fix the prompt in the highlighted template box by adding XML tags</t>
    </r>
    <r>
      <rPr>
        <rFont val="Arial"/>
        <color theme="1"/>
        <sz val="11.0"/>
      </rPr>
      <t xml:space="preserve"> so that Claude produces the right answer.
Try not to change anything else about the prompt. The messy and mistake-ridden writing is intentional, so you can see how Claude reacts to such mistakes. Claude's response will turn </t>
    </r>
    <r>
      <rPr>
        <rFont val="Arial"/>
        <b/>
        <color rgb="FF34A853"/>
        <sz val="11.0"/>
      </rPr>
      <t>GREEN</t>
    </r>
    <r>
      <rPr>
        <rFont val="Arial"/>
        <color theme="1"/>
        <sz val="11.0"/>
      </rPr>
      <t xml:space="preserve"> if your prompt produces the right answer.</t>
    </r>
  </si>
  <si>
    <r>
      <rPr>
        <rFont val="Arial"/>
        <b/>
        <color theme="1"/>
        <sz val="11.0"/>
      </rPr>
      <t xml:space="preserve">Note: </t>
    </r>
    <r>
      <rPr>
        <rFont val="Arial"/>
        <b val="0"/>
        <color theme="1"/>
        <sz val="11.0"/>
      </rPr>
      <t xml:space="preserve">Although Claude can somewhat parse through broken prompts with poor grammar and misspelled words, </t>
    </r>
    <r>
      <rPr>
        <rFont val="Arial"/>
        <b/>
        <color theme="1"/>
        <sz val="11.0"/>
      </rPr>
      <t xml:space="preserve">having a clearly written, spell-checked and grammatically correct prompt far decreases the risk of Claude making mistakes and far increases the quality of Claude's output. </t>
    </r>
  </si>
  <si>
    <t>Input {{QUESTION}}</t>
  </si>
  <si>
    <t xml:space="preserve">User: &lt;t&gt; Hia its me i have a q about dogs jkaerjv &lt;question&gt;{{QUESTION}}&lt;/question&gt; jklmvca tx it help me muhch much atx fst fst answer short short tx &lt;/t&gt;
</t>
  </si>
  <si>
    <t>ar cn brown?</t>
  </si>
  <si>
    <r>
      <rPr>
        <rFont val="Arial"/>
        <b/>
        <color theme="1"/>
        <sz val="11.0"/>
      </rPr>
      <t xml:space="preserve">Hint: </t>
    </r>
    <r>
      <rPr>
        <rFont val="Arial"/>
        <color theme="1"/>
        <sz val="11.0"/>
      </rPr>
      <t>If you surround "{{QUESTION}}" in XML tags, how does that change Claude's response?
The conditional formatting in this exercise is looking for a response that includes the word "brown".</t>
    </r>
  </si>
  <si>
    <r>
      <rPr>
        <rFont val="Arial"/>
        <color theme="1"/>
        <sz val="11.0"/>
      </rPr>
      <t xml:space="preserve">Fix the prompt in the highlighted template box </t>
    </r>
    <r>
      <rPr>
        <rFont val="Arial"/>
        <b/>
        <color theme="1"/>
        <sz val="11.0"/>
        <u/>
      </rPr>
      <t>WITHOUT</t>
    </r>
    <r>
      <rPr>
        <rFont val="Arial"/>
        <color theme="1"/>
        <sz val="11.0"/>
        <u/>
      </rPr>
      <t xml:space="preserve"> adding XML tags.</t>
    </r>
    <r>
      <rPr>
        <rFont val="Arial"/>
        <color theme="1"/>
        <sz val="11.0"/>
      </rPr>
      <t xml:space="preserve"> Instead, </t>
    </r>
    <r>
      <rPr>
        <rFont val="Arial"/>
        <color theme="1"/>
        <sz val="11.0"/>
        <u/>
      </rPr>
      <t>remove only one or two words from the prompt</t>
    </r>
    <r>
      <rPr>
        <rFont val="Arial"/>
        <color theme="1"/>
        <sz val="11.0"/>
      </rPr>
      <t xml:space="preserve">.
Just as with the above exercises, try not to change anything else about the prompt. This will show you what kind of language Claude can parse and understand. Claude's response will turn </t>
    </r>
    <r>
      <rPr>
        <rFont val="Arial"/>
        <b/>
        <color rgb="FF34A853"/>
        <sz val="11.0"/>
      </rPr>
      <t>GREEN</t>
    </r>
    <r>
      <rPr>
        <rFont val="Arial"/>
        <color theme="1"/>
        <sz val="11.0"/>
      </rPr>
      <t xml:space="preserve"> if your prompt produces the right answer.</t>
    </r>
  </si>
  <si>
    <t>User: &lt;a&gt; Hia its me i have a q about dogs jkaerjv &lt;q&gt; {{QUESTION}} &lt;/q&gt; jklmvca tx it help me muhch much atx fst fst answer short short tx &lt;/a&gt;</t>
  </si>
  <si>
    <r>
      <rPr>
        <rFont val="Arial"/>
        <b/>
        <color theme="1"/>
        <sz val="11.0"/>
      </rPr>
      <t xml:space="preserve">Hint: </t>
    </r>
    <r>
      <rPr>
        <rFont val="Arial"/>
        <color theme="1"/>
        <sz val="11.0"/>
      </rPr>
      <t>Try removing one word or section of characters at a time, starting with the parts that make the least sense. Doing this one word at a time will also help you see just how much Claude can or can't parse and understand.
The conditional formatting in this exercise is looking for a response that includes the word "brown".</t>
    </r>
  </si>
  <si>
    <t>← Chapter 4: Separating Data from Instructions</t>
  </si>
  <si>
    <t>Chapter 5: Formatting Output &amp; Speaking for Claude →</t>
  </si>
  <si>
    <r>
      <rPr>
        <rFont val="Arial"/>
        <b/>
        <color theme="1"/>
        <sz val="11.0"/>
      </rPr>
      <t>Claude can format its output in a wide variety of ways</t>
    </r>
    <r>
      <rPr>
        <rFont val="Arial"/>
        <color theme="1"/>
        <sz val="11.0"/>
      </rPr>
      <t xml:space="preserve">. You just need to ask for it to do so!
One of these ways is by using XML tags to separate out the response from any other superfluous text. You've already learned that you can use XML tags to make your prompt clearer and more parseable to Claude. It turns out, you can also ask Claude to </t>
    </r>
    <r>
      <rPr>
        <rFont val="Arial"/>
        <b/>
        <color theme="1"/>
        <sz val="11.0"/>
      </rPr>
      <t>use XML tags to make its output clearer and more easily understandable</t>
    </r>
    <r>
      <rPr>
        <rFont val="Arial"/>
        <color theme="1"/>
        <sz val="11.0"/>
      </rPr>
      <t xml:space="preserve"> to humans.</t>
    </r>
  </si>
  <si>
    <r>
      <rPr>
        <rFont val="Arial"/>
        <color theme="1"/>
        <sz val="11.0"/>
      </rPr>
      <t xml:space="preserve">Remember the 'poem preamble problem' we solved in Chapter 2 by asking Claude to skip the preamble entirely? It turns out we can also achieve a similar outcome by </t>
    </r>
    <r>
      <rPr>
        <rFont val="Arial"/>
        <color theme="1"/>
        <sz val="11.0"/>
        <u/>
      </rPr>
      <t>telling Claude to put the poem in XML tags</t>
    </r>
    <r>
      <rPr>
        <rFont val="Arial"/>
        <color theme="1"/>
        <sz val="11.0"/>
      </rPr>
      <t>.</t>
    </r>
  </si>
  <si>
    <t>User: Please write a haiku about {{ANIMAL}}. Put it in &lt;haiku&gt; tags.</t>
  </si>
  <si>
    <t>Rabbit</t>
  </si>
  <si>
    <r>
      <rPr>
        <rFont val="Arial"/>
        <color theme="1"/>
        <sz val="11.0"/>
      </rPr>
      <t xml:space="preserve">Why is this something we'd want to do? Well, having the output in </t>
    </r>
    <r>
      <rPr>
        <rFont val="Arial"/>
        <color theme="1"/>
        <sz val="11.0"/>
        <u/>
      </rPr>
      <t>XML tags allows the end user to reliably get the poem and only the poem by writing a short program to extract the content between XML tags</t>
    </r>
    <r>
      <rPr>
        <rFont val="Arial"/>
        <color theme="1"/>
        <sz val="11.0"/>
      </rPr>
      <t>.</t>
    </r>
  </si>
  <si>
    <r>
      <rPr>
        <rFont val="Arial"/>
        <color theme="1"/>
        <sz val="11.0"/>
      </rPr>
      <t xml:space="preserve">An extension of this technique is to </t>
    </r>
    <r>
      <rPr>
        <rFont val="Arial"/>
        <b/>
        <color theme="1"/>
        <sz val="11.0"/>
      </rPr>
      <t xml:space="preserve">put the first XML tag </t>
    </r>
    <r>
      <rPr>
        <rFont val="Arial"/>
        <b/>
        <color theme="1"/>
        <sz val="11.0"/>
        <u/>
      </rPr>
      <t>AFTER</t>
    </r>
    <r>
      <rPr>
        <rFont val="Arial"/>
        <b/>
        <color theme="1"/>
        <sz val="11.0"/>
      </rPr>
      <t xml:space="preserve"> "Assistant:"</t>
    </r>
    <r>
      <rPr>
        <rFont val="Arial"/>
        <color theme="1"/>
        <sz val="11.0"/>
      </rPr>
      <t>. When you put text after "Assistant:", you're basically telling Claude that Claude has already said something, and that it should continue from that point onward. This technique is called "speaking for Claude" or "prefilling Claude's response."
Below, we've done this with the first &lt;haiku&gt; XML tag. Notice how Claude continues directly from where we left off.</t>
    </r>
  </si>
  <si>
    <t>User: Please write a haiku about {{ANIMAL}}. Put it in &lt;haiku&gt; tags.
Assistant: &lt;haiku&gt;</t>
  </si>
  <si>
    <t>Cat</t>
  </si>
  <si>
    <r>
      <rPr>
        <rFont val="Arial"/>
        <color theme="1"/>
        <sz val="11.0"/>
      </rPr>
      <t xml:space="preserve">Claude also excels at using other output formatting styles, notably </t>
    </r>
    <r>
      <rPr>
        <rFont val="Arial"/>
        <b/>
        <color theme="1"/>
        <sz val="11.0"/>
      </rPr>
      <t xml:space="preserve">JSON. </t>
    </r>
    <r>
      <rPr>
        <rFont val="Arial"/>
        <color theme="1"/>
        <sz val="11.0"/>
      </rPr>
      <t>If you want to enforce JSON output (not deterministically, but close to it), you can also prefill Claude's response with the opening bracket, "{".</t>
    </r>
  </si>
  <si>
    <t>User: Please write a haiku about {{ANIMAL}}. Use JSON format with the keys as "first_line", "second_line", and "third_line".
Assistant: {</t>
  </si>
  <si>
    <r>
      <rPr>
        <rFont val="Arial"/>
        <color theme="1"/>
        <sz val="11.0"/>
      </rPr>
      <t xml:space="preserve">Below is an example of </t>
    </r>
    <r>
      <rPr>
        <rFont val="Arial"/>
        <color theme="1"/>
        <sz val="11.0"/>
        <u/>
      </rPr>
      <t>multiple input variables in the same prompt AND output formatting specification, all done using XML tags</t>
    </r>
    <r>
      <rPr>
        <rFont val="Arial"/>
        <color theme="1"/>
        <sz val="11.0"/>
      </rPr>
      <t>.</t>
    </r>
  </si>
  <si>
    <t>User: Hey Claude. Here is an email: &lt;email&gt;{{EMAIL}}&lt;/email&gt;. Make this email more {{ADJECTIVE}}. Write the new version in &lt;{{ADJECTIVE}}_email&gt; XML tags.
Assistant: &lt;{{ADJECTIVE}}_email&gt;</t>
  </si>
  <si>
    <t>Hi Zack, just pinging you for a quick update on that prompt you were supposed to write.</t>
  </si>
  <si>
    <t>Input {{ADJECTIVE}}</t>
  </si>
  <si>
    <t>olde english</t>
  </si>
  <si>
    <r>
      <rPr>
        <rFont val="Arial"/>
        <b/>
        <color theme="1"/>
        <sz val="11.0"/>
      </rPr>
      <t>Bonus lesson:</t>
    </r>
    <r>
      <rPr>
        <rFont val="Arial"/>
        <b val="0"/>
        <color theme="1"/>
        <sz val="11.0"/>
      </rPr>
      <t xml:space="preserve"> To learn more about</t>
    </r>
    <r>
      <rPr>
        <rFont val="Arial"/>
        <b/>
        <color theme="1"/>
        <sz val="11.0"/>
      </rPr>
      <t xml:space="preserve"> controlling Claude's output using the API</t>
    </r>
    <r>
      <rPr>
        <rFont val="Arial"/>
        <b val="0"/>
        <color theme="1"/>
        <sz val="11.0"/>
      </rPr>
      <t>, click on the plus sign (➕) on the far left of this row!</t>
    </r>
  </si>
  <si>
    <t>If you are calling Claude through the API, you can pass the closing XML tag to the "stop_sequences" parameter to get Claude to stop sampling once it emits your desired tag. This can save money and time-to-last-token by eliminating Claude's concluding remarks after it's already given you the answer you care about.</t>
  </si>
  <si>
    <r>
      <rPr>
        <rFont val="Arial"/>
        <color theme="1"/>
        <sz val="11.0"/>
      </rPr>
      <t xml:space="preserve">If you're ready to </t>
    </r>
    <r>
      <rPr>
        <rFont val="Arial"/>
        <color theme="1"/>
        <sz val="11.0"/>
        <u/>
      </rPr>
      <t>try the chapter exercises, click the link below</t>
    </r>
    <r>
      <rPr>
        <rFont val="Arial"/>
        <color theme="1"/>
        <sz val="11.0"/>
      </rPr>
      <t>. If you want to play around with any of the examples in this lesson, scroll down!</t>
    </r>
  </si>
  <si>
    <t>Chapter 5 Exercises: Formatting Output &amp; Speaking for Claude →</t>
  </si>
  <si>
    <r>
      <rPr>
        <rFont val="Arial"/>
        <color theme="1"/>
        <sz val="11.0"/>
      </rPr>
      <t xml:space="preserve">This is an area for you to </t>
    </r>
    <r>
      <rPr>
        <rFont val="Arial"/>
        <color theme="1"/>
        <sz val="11.0"/>
        <u/>
      </rPr>
      <t>experiment freely with the prompt examples shown in this lesson</t>
    </r>
    <r>
      <rPr>
        <rFont val="Arial"/>
        <color theme="1"/>
        <sz val="11.0"/>
      </rPr>
      <t xml:space="preserve">. Feel free to tweak prompts to see how it may affect Claude's responses.
</t>
    </r>
    <r>
      <rPr>
        <rFont val="Arial"/>
        <b/>
        <color theme="1"/>
        <sz val="11.0"/>
      </rPr>
      <t>Note:</t>
    </r>
    <r>
      <rPr>
        <rFont val="Arial"/>
        <color theme="1"/>
        <sz val="11.0"/>
      </rPr>
      <t xml:space="preserve"> The colors in the cells, which have been carried over from above, will not change even if the prompt or Claude's response changes.</t>
    </r>
  </si>
  <si>
    <t>← Chapter 4 Exercises: Separating Data and Instructions</t>
  </si>
  <si>
    <t>Chapter 5: Formatting Output &amp; Speaking for Claude - Exercises</t>
  </si>
  <si>
    <t>Exercise 5.1 - Steph Curry GOAT</t>
  </si>
  <si>
    <t>Exercise 5.2 - Two Haikus</t>
  </si>
  <si>
    <t>Exercise 5.3 - Two Haikus, Two Animals</t>
  </si>
  <si>
    <r>
      <rPr>
        <rFont val="Arial"/>
        <color theme="1"/>
        <sz val="11.0"/>
      </rPr>
      <t xml:space="preserve">Forced to make a choice, Claude designates Michael Jordan as the best basketball player of all time. Can we get Claude to pick someone else?
Modify the "best basketball player" prompt in the highlighted template box and use the "speaking for Claude" technique (putting words after "Assistant:") to </t>
    </r>
    <r>
      <rPr>
        <rFont val="Arial"/>
        <color theme="1"/>
        <sz val="11.0"/>
        <u/>
      </rPr>
      <t xml:space="preserve">compell Claude to make a detailed argument that the best basketball player of all time is </t>
    </r>
    <r>
      <rPr>
        <rFont val="Arial"/>
        <b/>
        <color theme="1"/>
        <sz val="11.0"/>
        <u/>
      </rPr>
      <t>Stephen Curry</t>
    </r>
    <r>
      <rPr>
        <rFont val="Arial"/>
        <color theme="1"/>
        <sz val="11.0"/>
      </rPr>
      <t xml:space="preserve">. Claude's response will turn </t>
    </r>
    <r>
      <rPr>
        <rFont val="Arial"/>
        <b/>
        <color rgb="FF34A853"/>
        <sz val="11.0"/>
      </rPr>
      <t>GREEN</t>
    </r>
    <r>
      <rPr>
        <rFont val="Arial"/>
        <color theme="1"/>
        <sz val="11.0"/>
      </rPr>
      <t xml:space="preserve"> if your prompt produces the right answer.</t>
    </r>
  </si>
  <si>
    <t>User: Who is the best basketball player of all time? Please choose one specific player.
Assistant:</t>
  </si>
  <si>
    <r>
      <rPr>
        <rFont val="Arial"/>
        <b/>
        <color theme="1"/>
        <sz val="11.0"/>
      </rPr>
      <t xml:space="preserve">Hint: </t>
    </r>
    <r>
      <rPr>
        <rFont val="Arial"/>
        <color theme="1"/>
        <sz val="11.0"/>
        <u/>
      </rPr>
      <t>Write more words</t>
    </r>
    <r>
      <rPr>
        <rFont val="Arial"/>
        <i/>
        <color theme="1"/>
        <sz val="11.0"/>
      </rPr>
      <t xml:space="preserve"> </t>
    </r>
    <r>
      <rPr>
        <rFont val="Arial"/>
        <color theme="1"/>
        <sz val="11.0"/>
      </rPr>
      <t>in Claude's voice to steer Claude to act the way you want it to. For instance, instead of "Stephen Curry is the best because," you could write "Stephen Curry is the best and here are three reasons why. 1:"
The conditional formatting for this exercise is looking for a response that includes the word "Warrior".</t>
    </r>
  </si>
  <si>
    <r>
      <rPr>
        <rFont val="Arial"/>
        <color theme="1"/>
        <sz val="11.0"/>
      </rPr>
      <t xml:space="preserve">Modify the haiku prompt in the highlighted template box below and </t>
    </r>
    <r>
      <rPr>
        <rFont val="Arial"/>
        <color theme="1"/>
        <sz val="11.0"/>
        <u/>
      </rPr>
      <t>use XML tags so that Claude writes two haikus about the animal instead of just one</t>
    </r>
    <r>
      <rPr>
        <rFont val="Arial"/>
        <color theme="1"/>
        <sz val="11.0"/>
      </rPr>
      <t xml:space="preserve">. It should be clear where one poem ends and the other begins.
Claude's response will turn </t>
    </r>
    <r>
      <rPr>
        <rFont val="Arial"/>
        <b/>
        <color rgb="FF34A853"/>
        <sz val="11.0"/>
      </rPr>
      <t>GREEN</t>
    </r>
    <r>
      <rPr>
        <rFont val="Arial"/>
        <color theme="1"/>
        <sz val="11.0"/>
      </rPr>
      <t xml:space="preserve"> if your prompt produces the right answer.</t>
    </r>
  </si>
  <si>
    <t>cats</t>
  </si>
  <si>
    <r>
      <rPr>
        <rFont val="Arial"/>
        <b/>
        <color theme="1"/>
        <sz val="11.0"/>
      </rPr>
      <t xml:space="preserve">Hint: </t>
    </r>
    <r>
      <rPr>
        <rFont val="Arial"/>
        <color theme="1"/>
        <sz val="11.0"/>
      </rPr>
      <t>Start simple. Currently, the prompt asks Claude for one haiku. You can change that and ask for two (or even more). Then if you run into formatting issues, change your prompt to fix that after you've already gotten Claude to write more than one haiku.
The conditional formatting looks for a response of over 5 lines in length that includes the words "cat" and "&lt;haiku&gt;".</t>
    </r>
  </si>
  <si>
    <r>
      <rPr>
        <rFont val="Arial"/>
        <color theme="1"/>
        <sz val="11.0"/>
      </rPr>
      <t xml:space="preserve">Modify the haiku prompt in the highlighted template box below so that </t>
    </r>
    <r>
      <rPr>
        <rFont val="Arial"/>
        <color theme="1"/>
        <sz val="11.0"/>
        <u/>
      </rPr>
      <t>Claude produces two haikus about two different animals</t>
    </r>
    <r>
      <rPr>
        <rFont val="Arial"/>
        <color theme="1"/>
        <sz val="11.0"/>
      </rPr>
      <t xml:space="preserve">. 
Use {{ANIMAL1}} as a stand-in for the first substitution, and {{ANIMAL2}} as a stand-in for the second substitution.
Claude's response will turn </t>
    </r>
    <r>
      <rPr>
        <rFont val="Arial"/>
        <b/>
        <color rgb="FF34A853"/>
        <sz val="11.0"/>
      </rPr>
      <t>GREEN</t>
    </r>
    <r>
      <rPr>
        <rFont val="Arial"/>
        <color theme="1"/>
        <sz val="11.0"/>
      </rPr>
      <t xml:space="preserve"> if your prompt produces the right answer.</t>
    </r>
  </si>
  <si>
    <t>Input {{ANIMAL1}}</t>
  </si>
  <si>
    <t>User: Please write a haiku about {{ANIMAL1}}. Put it in &lt;haiku&gt; tags.</t>
  </si>
  <si>
    <t>Input {{ANIMAL2}}</t>
  </si>
  <si>
    <t>Dog</t>
  </si>
  <si>
    <r>
      <rPr>
        <rFont val="Arial"/>
        <b/>
        <color theme="1"/>
        <sz val="11.0"/>
      </rPr>
      <t xml:space="preserve">Hint: </t>
    </r>
    <r>
      <rPr>
        <rFont val="Arial"/>
        <color theme="1"/>
        <sz val="11.0"/>
      </rPr>
      <t>It's helpful to break this exercise down to several steps.</t>
    </r>
  </si>
  <si>
    <t>1.</t>
  </si>
  <si>
    <r>
      <rPr>
        <rFont val="Arial"/>
        <color theme="1"/>
        <sz val="11.0"/>
      </rPr>
      <t xml:space="preserve">Modify the initial prompt template so that </t>
    </r>
    <r>
      <rPr>
        <rFont val="Arial"/>
        <color theme="1"/>
        <sz val="11.0"/>
        <u/>
      </rPr>
      <t>Claude writes two poems</t>
    </r>
    <r>
      <rPr>
        <rFont val="Arial"/>
        <color theme="1"/>
        <sz val="11.0"/>
      </rPr>
      <t>.</t>
    </r>
  </si>
  <si>
    <t>2.</t>
  </si>
  <si>
    <r>
      <rPr>
        <rFont val="Arial"/>
        <color theme="1"/>
        <sz val="11.0"/>
      </rPr>
      <t xml:space="preserve">Give Claude indicators as to what the poems will be about, but instead of writing in the subjects directly (e.g., dog, cat, etc.), </t>
    </r>
    <r>
      <rPr>
        <rFont val="Arial"/>
        <color theme="1"/>
        <sz val="11.0"/>
        <u/>
      </rPr>
      <t>replace those subjects with the keywords "{{ANIMAL1}}" and "{{ANIMAL2}}"</t>
    </r>
    <r>
      <rPr>
        <rFont val="Arial"/>
        <color theme="1"/>
        <sz val="11.0"/>
      </rPr>
      <t>.</t>
    </r>
  </si>
  <si>
    <t>3.</t>
  </si>
  <si>
    <r>
      <rPr>
        <rFont val="Arial"/>
        <color theme="1"/>
        <sz val="11.0"/>
      </rPr>
      <t xml:space="preserve">Check to make sure the </t>
    </r>
    <r>
      <rPr>
        <rFont val="Arial"/>
        <color theme="1"/>
        <sz val="11.0"/>
        <u/>
      </rPr>
      <t>"Prompt After Substitution" box has all the words correctly substituted.</t>
    </r>
    <r>
      <rPr>
        <rFont val="Arial"/>
        <color theme="1"/>
        <sz val="11.0"/>
      </rPr>
      <t xml:space="preserve"> If not, check to make sure your {{bracket}} tags are spelled correctly with the exact formatting given.</t>
    </r>
  </si>
  <si>
    <t>The conditional formatting in this exercise is looking for a response that contains the words "tail", "cat", and "&lt;haiku&gt;".</t>
  </si>
  <si>
    <t>← Chapter 5: Formatting Output &amp; Speaking for Claude</t>
  </si>
  <si>
    <t>Chapter 6: Precognition (Thinking Step by Step) →</t>
  </si>
  <si>
    <r>
      <rPr>
        <rFont val="Arial"/>
        <color rgb="FF1F1F1F"/>
        <sz val="11.0"/>
      </rPr>
      <t xml:space="preserve">If someone woke you up and immediately started asking you several complicated questions that you had to respond to right away, how would you do? Probably not as good as if you were given time to </t>
    </r>
    <r>
      <rPr>
        <rFont val="Arial"/>
        <color rgb="FF1F1F1F"/>
        <sz val="11.0"/>
        <u/>
      </rPr>
      <t>think through your answer first</t>
    </r>
    <r>
      <rPr>
        <rFont val="Arial"/>
        <color rgb="FF1F1F1F"/>
        <sz val="11.0"/>
      </rPr>
      <t xml:space="preserve">. 
Guess what? Claude is the same way.
</t>
    </r>
    <r>
      <rPr>
        <rFont val="Arial"/>
        <b/>
        <color rgb="FF1F1F1F"/>
        <sz val="11.0"/>
      </rPr>
      <t>Giving Claude time to think step by step sometimes makes Claude more accurate</t>
    </r>
    <r>
      <rPr>
        <rFont val="Arial"/>
        <color rgb="FF1F1F1F"/>
        <sz val="11.0"/>
      </rPr>
      <t xml:space="preserve">, particularly for complex tasks. However, </t>
    </r>
    <r>
      <rPr>
        <rFont val="Arial"/>
        <b/>
        <color rgb="FF1F1F1F"/>
        <sz val="11.0"/>
      </rPr>
      <t>thinking</t>
    </r>
    <r>
      <rPr>
        <rFont val="Arial"/>
        <color rgb="FF1F1F1F"/>
        <sz val="11.0"/>
      </rPr>
      <t xml:space="preserve"> </t>
    </r>
    <r>
      <rPr>
        <rFont val="Arial"/>
        <b/>
        <color rgb="FF1F1F1F"/>
        <sz val="11.0"/>
      </rPr>
      <t>only counts when it's out loud</t>
    </r>
    <r>
      <rPr>
        <rFont val="Arial"/>
        <color rgb="FF1F1F1F"/>
        <sz val="11.0"/>
      </rPr>
      <t>. You cannot ask Claude to think but output only the answer - in this case, no thinking has actually occurred.</t>
    </r>
  </si>
  <si>
    <r>
      <rPr>
        <rFont val="Arial"/>
        <color theme="1"/>
        <sz val="11.0"/>
      </rPr>
      <t xml:space="preserve">In the movie review prompt below, it's clear to a human reader that the second sentence belies the first. But </t>
    </r>
    <r>
      <rPr>
        <rFont val="Arial"/>
        <color theme="1"/>
        <sz val="11.0"/>
        <u/>
      </rPr>
      <t>Claude takes the word "unrelated" too literally</t>
    </r>
    <r>
      <rPr>
        <rFont val="Arial"/>
        <color theme="1"/>
        <sz val="11.0"/>
      </rPr>
      <t>.</t>
    </r>
  </si>
  <si>
    <t>User: Is this movie review sentiment positive or negative?
This movie blew my mind with its freshness and originality. In totally unrelated news, I have been living under a rock since the year 1900.</t>
  </si>
  <si>
    <r>
      <rPr>
        <rFont val="Arial"/>
        <color theme="1"/>
        <sz val="11.0"/>
      </rPr>
      <t xml:space="preserve">To improve Claude's response, let's </t>
    </r>
    <r>
      <rPr>
        <rFont val="Arial"/>
        <b/>
        <color theme="1"/>
        <sz val="11.0"/>
      </rPr>
      <t>allow Claude to think things out first before answering</t>
    </r>
    <r>
      <rPr>
        <rFont val="Arial"/>
        <color theme="1"/>
        <sz val="11.0"/>
      </rPr>
      <t xml:space="preserve">. We do that by </t>
    </r>
    <r>
      <rPr>
        <rFont val="Arial"/>
        <color theme="1"/>
        <sz val="11.0"/>
        <u/>
      </rPr>
      <t>literally spelling out the steps that Claude should take</t>
    </r>
    <r>
      <rPr>
        <rFont val="Arial"/>
        <color theme="1"/>
        <sz val="11.0"/>
      </rPr>
      <t xml:space="preserve"> in order to process and think through its task. Along with a dash of role prompting, this empowers Claude to understand the review more deeply.</t>
    </r>
  </si>
  <si>
    <t>You are a savvy reader of movie reviews.</t>
  </si>
  <si>
    <t>User: Is this review sentiment positive or negative? First, write the best arguments for each side in &lt;positive-argument&gt; and &lt;negative-argument&gt; XML tags, then answer.
This movie blew my mind with its freshness and originality. In totally unrelated news, I have been living under a rock since 1900.</t>
  </si>
  <si>
    <r>
      <rPr>
        <rFont val="Arial"/>
        <b/>
        <color theme="1"/>
        <sz val="11.0"/>
      </rPr>
      <t>Claude is sometimes sensitive to ordering.</t>
    </r>
    <r>
      <rPr>
        <rFont val="Arial"/>
        <color theme="1"/>
        <sz val="11.0"/>
      </rPr>
      <t xml:space="preserve"> This example is on the frontier of Claude's ability to understand nuanced text, and when we </t>
    </r>
    <r>
      <rPr>
        <rFont val="Arial"/>
        <color theme="1"/>
        <sz val="11.0"/>
        <u/>
      </rPr>
      <t>swap the order of the arguments</t>
    </r>
    <r>
      <rPr>
        <rFont val="Arial"/>
        <color theme="1"/>
        <sz val="11.0"/>
      </rPr>
      <t xml:space="preserve"> from the previous example so that </t>
    </r>
    <r>
      <rPr>
        <rFont val="Arial"/>
        <color theme="1"/>
        <sz val="11.0"/>
        <u/>
      </rPr>
      <t>negative is first and positive is second,</t>
    </r>
    <r>
      <rPr>
        <rFont val="Arial"/>
        <color theme="1"/>
        <sz val="11.0"/>
      </rPr>
      <t xml:space="preserve"> this changes </t>
    </r>
    <r>
      <rPr>
        <rFont val="Arial"/>
        <color theme="1"/>
        <sz val="11.0"/>
        <u/>
      </rPr>
      <t xml:space="preserve">Claude's overall assessment to positive.
</t>
    </r>
    <r>
      <rPr>
        <rFont val="Arial"/>
        <color theme="1"/>
        <sz val="11.0"/>
      </rPr>
      <t xml:space="preserve">
In most situations (but not all, confusingly enough), </t>
    </r>
    <r>
      <rPr>
        <rFont val="Arial"/>
        <b/>
        <color theme="1"/>
        <sz val="11.0"/>
      </rPr>
      <t>Claude is more likely to choose the second of two options</t>
    </r>
    <r>
      <rPr>
        <rFont val="Arial"/>
        <color theme="1"/>
        <sz val="11.0"/>
      </rPr>
      <t xml:space="preserve">, possibly because in its </t>
    </r>
    <r>
      <rPr>
        <rFont val="Arial"/>
        <color theme="1"/>
        <sz val="11.0"/>
        <u/>
      </rPr>
      <t>training data from the web</t>
    </r>
    <r>
      <rPr>
        <rFont val="Arial"/>
        <color theme="1"/>
        <sz val="11.0"/>
      </rPr>
      <t>, second options were more likely to be correct.</t>
    </r>
  </si>
  <si>
    <t>User: Is this review sentiment negative or positive? First write the best arguments for each side in &lt;negative-argument&gt; and &lt;positive-argument&gt; XML tags, then answer.
This movie blew my mind with its freshness and originality. Unrelatedly, I have been living under a rock since 1900.</t>
  </si>
  <si>
    <r>
      <rPr>
        <rFont val="Arial"/>
        <b/>
        <color theme="1"/>
        <sz val="11.0"/>
      </rPr>
      <t>Letting Claude think can shift Claude's answer from incorrect to correct.</t>
    </r>
    <r>
      <rPr>
        <rFont val="Arial"/>
        <color theme="1"/>
        <sz val="11.0"/>
      </rPr>
      <t xml:space="preserve"> It's that simple in many cases where Claude makes mistakes!
Let's go through an example where Claude's answer is incorrect to see how asking Claude to think can fix that.</t>
    </r>
  </si>
  <si>
    <t>User: Name a famous movie starring an actor who was born in the year 1956.</t>
  </si>
  <si>
    <t>Let's fix this by asking Claude to think step by step, this time in &lt;brainstorm&gt; tags.</t>
  </si>
  <si>
    <t>User: Name a famous movie starring an actor who was born in the year 1956. First brainstorm about some actors and their birth years in &lt;brainstorm&gt; tags, then give your answer.</t>
  </si>
  <si>
    <r>
      <rPr>
        <rFont val="Arial"/>
        <color theme="1"/>
        <sz val="11.0"/>
      </rPr>
      <t xml:space="preserve">If you're ready to </t>
    </r>
    <r>
      <rPr>
        <rFont val="Arial"/>
        <color theme="1"/>
        <sz val="11.0"/>
        <u/>
      </rPr>
      <t>try the chapter exercises, click the link below</t>
    </r>
    <r>
      <rPr>
        <rFont val="Arial"/>
        <color theme="1"/>
        <sz val="11.0"/>
      </rPr>
      <t>. If you want to play around with any of the examples in this lesson, scroll down!</t>
    </r>
  </si>
  <si>
    <t>Chapter 6 Exercises: Precognition (Thinking Step by Step) →</t>
  </si>
  <si>
    <r>
      <rPr>
        <rFont val="Arial"/>
        <color theme="1"/>
        <sz val="11.0"/>
      </rPr>
      <t xml:space="preserve">This is an area for you to </t>
    </r>
    <r>
      <rPr>
        <rFont val="Arial"/>
        <color theme="1"/>
        <sz val="11.0"/>
        <u/>
      </rPr>
      <t>experiment freely with the prompt examples shown in this lesson</t>
    </r>
    <r>
      <rPr>
        <rFont val="Arial"/>
        <color theme="1"/>
        <sz val="11.0"/>
      </rPr>
      <t xml:space="preserve">. Feel free to tweak prompts to see how it may affect Claude's responses.
</t>
    </r>
    <r>
      <rPr>
        <rFont val="Arial"/>
        <b/>
        <color theme="1"/>
        <sz val="11.0"/>
      </rPr>
      <t>Note:</t>
    </r>
    <r>
      <rPr>
        <rFont val="Arial"/>
        <color theme="1"/>
        <sz val="11.0"/>
      </rPr>
      <t xml:space="preserve"> The colors in the cells, which have been carried over from above, will not change even if the prompt or Claude's response changes.</t>
    </r>
  </si>
  <si>
    <t>← Chapter 5 Exercises: Formatting Output &amp; Speaking for Claude</t>
  </si>
  <si>
    <t>Chapter 6: Precognition (Thinking Step by Step) - Exercises</t>
  </si>
  <si>
    <t>Exercise 6.1 - Classifying Emails</t>
  </si>
  <si>
    <t>Exercise 6.2 - Email Classification Formatting</t>
  </si>
  <si>
    <r>
      <rPr>
        <rFont val="Arial"/>
        <color theme="1"/>
        <sz val="11.0"/>
      </rPr>
      <t xml:space="preserve">In this exercise, we'll be instructing Claude to </t>
    </r>
    <r>
      <rPr>
        <rFont val="Arial"/>
        <color theme="1"/>
        <sz val="11.0"/>
        <u/>
      </rPr>
      <t>sort emails into the following categories</t>
    </r>
    <r>
      <rPr>
        <rFont val="Arial"/>
        <color theme="1"/>
        <sz val="11.0"/>
      </rPr>
      <t>:</t>
    </r>
  </si>
  <si>
    <t>(A) Pre-sale question
(B) Broken or defective item
(C) Billing question
(D) Other (please explain)</t>
  </si>
  <si>
    <r>
      <rPr>
        <rFont val="Arial"/>
        <color theme="1"/>
        <sz val="11.0"/>
      </rPr>
      <t xml:space="preserve">For the first part of the exercise, change the prompt in the </t>
    </r>
    <r>
      <rPr>
        <rFont val="Arial"/>
        <b/>
        <color rgb="FFBF9000"/>
        <sz val="11.0"/>
      </rPr>
      <t>YELLOW</t>
    </r>
    <r>
      <rPr>
        <rFont val="Arial"/>
        <color theme="1"/>
        <sz val="11.0"/>
      </rPr>
      <t xml:space="preserve"> highlighted prompt template box to </t>
    </r>
    <r>
      <rPr>
        <rFont val="Arial"/>
        <color theme="1"/>
        <sz val="11.0"/>
        <u/>
      </rPr>
      <t>make Claude output the correct classification</t>
    </r>
    <r>
      <rPr>
        <rFont val="Arial"/>
        <color theme="1"/>
        <sz val="11.0"/>
      </rPr>
      <t xml:space="preserve">. Use Chain of Thought. To be marked as correct, Claude's answer needs to </t>
    </r>
    <r>
      <rPr>
        <rFont val="Arial"/>
        <color theme="1"/>
        <sz val="11.0"/>
        <u/>
      </rPr>
      <t>include the letter (A - D) of the correct choice, with the parentheses, as well as the name of the category.</t>
    </r>
    <r>
      <rPr>
        <rFont val="Arial"/>
        <color theme="1"/>
        <sz val="11.0"/>
      </rPr>
      <t xml:space="preserve">
Refer to the "Correct Classification" in column K to know which emails should be classified under what category. Claude's response will turn </t>
    </r>
    <r>
      <rPr>
        <rFont val="Arial"/>
        <b/>
        <color rgb="FF34A853"/>
        <sz val="11.0"/>
      </rPr>
      <t>GREEN</t>
    </r>
    <r>
      <rPr>
        <rFont val="Arial"/>
        <color theme="1"/>
        <sz val="11.0"/>
      </rPr>
      <t xml:space="preserve"> if your prompt yields the correct answer. </t>
    </r>
  </si>
  <si>
    <r>
      <rPr>
        <rFont val="Arial"/>
        <b/>
        <color theme="1"/>
        <sz val="11.0"/>
      </rPr>
      <t xml:space="preserve">Tip: </t>
    </r>
    <r>
      <rPr>
        <rFont val="Arial"/>
        <color theme="1"/>
        <sz val="11.0"/>
      </rPr>
      <t>Use precognition and other techniques you've learned leading up to this chapter! Remember,</t>
    </r>
    <r>
      <rPr>
        <rFont val="Arial"/>
        <b/>
        <color theme="1"/>
        <sz val="11.0"/>
      </rPr>
      <t xml:space="preserve"> thinking only counts when it's out loud!</t>
    </r>
  </si>
  <si>
    <t>Input - {{EMAIL}}</t>
  </si>
  <si>
    <t>Correct Classification</t>
  </si>
  <si>
    <t>User: Please classify this email as either green or blue: {{EMAIL}}</t>
  </si>
  <si>
    <t>Hi -- My Mixmaster4000 is producing a strange noise when I operate it. It also smells a bit smoky and plasticky, like burning electronics.  I need a replacement.</t>
  </si>
  <si>
    <t>B</t>
  </si>
  <si>
    <t>Can I use my Mixmaster 4000 to mix paint, or is it only meant for mixing food?</t>
  </si>
  <si>
    <t>D or A</t>
  </si>
  <si>
    <t>I HAVE BEEN WAITING 4 MONTHS FOR MY MONTHLY CHARGES TO END AFTER CANCELLING!!  WTF IS GOING ON???</t>
  </si>
  <si>
    <t>C</t>
  </si>
  <si>
    <t>How did I get here I am not good with computer.  Halp.</t>
  </si>
  <si>
    <t>D</t>
  </si>
  <si>
    <r>
      <rPr>
        <rFont val="Arial"/>
        <b/>
        <color theme="1"/>
        <sz val="11.0"/>
      </rPr>
      <t>BONUS QUESTION:</t>
    </r>
    <r>
      <rPr>
        <rFont val="Arial"/>
        <b val="0"/>
        <color theme="1"/>
        <sz val="11.0"/>
      </rPr>
      <t xml:space="preserve"> Time to think like a data scientist! Why is the second email the trickiest one to classify correctly? If the classification is debatable for humans, it's likely also tough for Claude!</t>
    </r>
  </si>
  <si>
    <r>
      <rPr>
        <rFont val="Arial"/>
        <b/>
        <color theme="1"/>
        <sz val="11.0"/>
      </rPr>
      <t xml:space="preserve">Hint: </t>
    </r>
    <r>
      <rPr>
        <rFont val="Arial"/>
        <color theme="1"/>
        <sz val="11.0"/>
      </rPr>
      <t>Let's take this exercise step by step:</t>
    </r>
  </si>
  <si>
    <r>
      <rPr>
        <rFont val="Arial"/>
        <color theme="1"/>
        <sz val="11.0"/>
      </rPr>
      <t xml:space="preserve">How will Claude know what categories you want to use? Tell it! </t>
    </r>
    <r>
      <rPr>
        <rFont val="Arial"/>
        <color theme="1"/>
        <sz val="11.0"/>
        <u/>
      </rPr>
      <t>Include the four categories you want directly in the prompt</t>
    </r>
    <r>
      <rPr>
        <rFont val="Arial"/>
        <color theme="1"/>
        <sz val="11.0"/>
      </rPr>
      <t>. Be sure to include the parenthetical letters as well for easy classification. Feel free to use XML tags to organize your prompt and make clear to Claude where the categories begin and end.</t>
    </r>
  </si>
  <si>
    <r>
      <rPr>
        <rFont val="Arial"/>
        <color theme="1"/>
        <sz val="11.0"/>
      </rPr>
      <t xml:space="preserve">Try to </t>
    </r>
    <r>
      <rPr>
        <rFont val="Arial"/>
        <color theme="1"/>
        <sz val="11.0"/>
        <u/>
      </rPr>
      <t>cut down on superfluous text so that Claude immediately answers with the classification and ONLY the classification</t>
    </r>
    <r>
      <rPr>
        <rFont val="Arial"/>
        <color theme="1"/>
        <sz val="11.0"/>
      </rPr>
      <t xml:space="preserve">. There are several ways to do this, from speaking for Claude (providing anything from the beginning of the sentence to a single open parenthesis so that Claude knows you want the parenthetical letter as the first part of the answer) to telling Claude that you want the classification and only the classification, skipping the preamble.
</t>
    </r>
    <r>
      <rPr>
        <rFont val="Arial"/>
        <i/>
        <color theme="1"/>
        <sz val="11.0"/>
      </rPr>
      <t>Refer to Chapters 2 and 5 if you want a refresher on these techniques.</t>
    </r>
  </si>
  <si>
    <t>Claude may still be incorrectly categorizing or not including the names of the categories when it answers. Fix this by telling Claude to include the full category name in its answer.</t>
  </si>
  <si>
    <t>4.</t>
  </si>
  <si>
    <r>
      <rPr>
        <rFont val="Arial"/>
        <color theme="1"/>
        <sz val="11.0"/>
      </rPr>
      <t xml:space="preserve">Be sure that you still </t>
    </r>
    <r>
      <rPr>
        <rFont val="Arial"/>
        <color theme="1"/>
        <sz val="11.0"/>
        <u/>
      </rPr>
      <t>have {{EMAIL}} somewhere in your prompt</t>
    </r>
    <r>
      <rPr>
        <rFont val="Arial"/>
        <color theme="1"/>
        <sz val="11.0"/>
      </rPr>
      <t xml:space="preserve"> template so that we can properly substitute in emails for Claude to evaluate.</t>
    </r>
  </si>
  <si>
    <t>The conditional formatting in this exercise is looking for the correct categorization letter + the closing parentheses and the first letter of the name of the category, such as "C) B" or "B) B" etc.</t>
  </si>
  <si>
    <t>⁉️</t>
  </si>
  <si>
    <t>Still stuck? Click on the plus sign (➕) on the far left of this row for the answer.</t>
  </si>
  <si>
    <r>
      <rPr>
        <rFont val="Arial"/>
        <b/>
        <color theme="1"/>
        <sz val="11.0"/>
      </rPr>
      <t>Answer:</t>
    </r>
    <r>
      <rPr>
        <rFont val="Arial"/>
        <color theme="1"/>
        <sz val="11.0"/>
      </rPr>
      <t xml:space="preserve"> Below is one way you could go about doing this.</t>
    </r>
  </si>
  <si>
    <t>Prompt Template ANSWER</t>
  </si>
  <si>
    <t>Step in Hint</t>
  </si>
  <si>
    <r>
      <rPr>
        <rFont val="Arial"/>
        <color theme="1"/>
      </rPr>
      <t xml:space="preserve">User: Please classify this email into the following categories: </t>
    </r>
    <r>
      <rPr>
        <rFont val="Arial"/>
        <color rgb="FF9900FF"/>
      </rPr>
      <t>{{EMAIL}}</t>
    </r>
    <r>
      <rPr>
        <rFont val="Arial"/>
        <color theme="1"/>
      </rPr>
      <t xml:space="preserve">
</t>
    </r>
    <r>
      <rPr>
        <rFont val="Arial"/>
        <color rgb="FF34A853"/>
      </rPr>
      <t xml:space="preserve">Do not include any extra words except the category.
</t>
    </r>
    <r>
      <rPr>
        <rFont val="Arial"/>
        <color theme="1"/>
      </rPr>
      <t xml:space="preserve">
</t>
    </r>
    <r>
      <rPr>
        <rFont val="Arial"/>
        <color rgb="FFFF9900"/>
      </rPr>
      <t>&lt;categories&gt;
(A) Pre-sale question
(B) Broken or defective item
(C) Billing question
(D) Other (please explain)
&lt;/categories&gt;</t>
    </r>
    <r>
      <rPr>
        <rFont val="Arial"/>
        <color theme="1"/>
      </rPr>
      <t xml:space="preserve">
Assistant: </t>
    </r>
    <r>
      <rPr>
        <rFont val="Arial"/>
        <color rgb="FF34A853"/>
      </rPr>
      <t>(</t>
    </r>
  </si>
  <si>
    <t>1. Include categories</t>
  </si>
  <si>
    <t>2. Cut down on superfluous text</t>
  </si>
  <si>
    <t>3. Have {{EMAIL}} in the prompt for proper substitution</t>
  </si>
  <si>
    <r>
      <rPr>
        <rFont val="Arial"/>
        <color theme="1"/>
        <sz val="11.0"/>
      </rPr>
      <t xml:space="preserve">In this exercise, we're going to </t>
    </r>
    <r>
      <rPr>
        <rFont val="Arial"/>
        <color theme="1"/>
        <sz val="11.0"/>
        <u/>
      </rPr>
      <t>refine the output of the above prompt to yield an answer formatted exactly how we want it.</t>
    </r>
    <r>
      <rPr>
        <rFont val="Arial"/>
        <color theme="1"/>
        <sz val="11.0"/>
      </rPr>
      <t xml:space="preserve"> 
Use your favorite output formatting technique to </t>
    </r>
    <r>
      <rPr>
        <rFont val="Arial"/>
        <color theme="1"/>
        <sz val="11.0"/>
        <u/>
      </rPr>
      <t xml:space="preserve">make Claude wrap </t>
    </r>
    <r>
      <rPr>
        <rFont val="Arial"/>
        <b/>
        <color theme="1"/>
        <sz val="11.0"/>
        <u/>
      </rPr>
      <t xml:space="preserve">just the letter </t>
    </r>
    <r>
      <rPr>
        <rFont val="Arial"/>
        <color theme="1"/>
        <sz val="11.0"/>
        <u/>
      </rPr>
      <t>of the correct classification in "&lt;answer&gt;&lt;/answer&gt; tags</t>
    </r>
    <r>
      <rPr>
        <rFont val="Arial"/>
        <color theme="1"/>
        <sz val="11.0"/>
      </rPr>
      <t xml:space="preserve">. </t>
    </r>
    <r>
      <rPr>
        <rFont val="Arial"/>
        <i/>
        <color theme="1"/>
        <sz val="11.0"/>
      </rPr>
      <t xml:space="preserve">Refer to the above exercise if you forget which letter is correct for each email.
</t>
    </r>
    <r>
      <rPr>
        <rFont val="Arial"/>
        <color theme="1"/>
        <sz val="11.0"/>
      </rPr>
      <t xml:space="preserve">Claude's response will turn </t>
    </r>
    <r>
      <rPr>
        <rFont val="Arial"/>
        <b/>
        <color rgb="FF34A853"/>
        <sz val="11.0"/>
      </rPr>
      <t>GREEN</t>
    </r>
    <r>
      <rPr>
        <rFont val="Arial"/>
        <color theme="1"/>
        <sz val="11.0"/>
      </rPr>
      <t xml:space="preserve"> if your prompt yields the correct answer. For instance, </t>
    </r>
    <r>
      <rPr>
        <rFont val="Arial"/>
        <color theme="1"/>
        <sz val="11.0"/>
        <u/>
      </rPr>
      <t>the answer to the first email should contain the exact string "&lt;answer&gt;B&lt;/answer&gt;"</t>
    </r>
    <r>
      <rPr>
        <rFont val="Arial"/>
        <color theme="1"/>
        <sz val="11.0"/>
      </rPr>
      <t>.</t>
    </r>
  </si>
  <si>
    <r>
      <rPr>
        <rFont val="Arial"/>
        <b/>
        <color theme="1"/>
        <sz val="11.0"/>
      </rPr>
      <t>Tip:</t>
    </r>
    <r>
      <rPr>
        <rFont val="Arial"/>
        <color theme="1"/>
        <sz val="11.0"/>
      </rPr>
      <t xml:space="preserve"> As a first step, </t>
    </r>
    <r>
      <rPr>
        <rFont val="Arial"/>
        <color theme="1"/>
        <sz val="11.0"/>
        <u/>
      </rPr>
      <t>copy the final correct version of your prompt from Exercise 1 down into the highlighted prompt template box below</t>
    </r>
    <r>
      <rPr>
        <rFont val="Arial"/>
        <color theme="1"/>
        <sz val="11.0"/>
      </rPr>
      <t>. Then edit and refine your initial prompt from there.</t>
    </r>
  </si>
  <si>
    <r>
      <rPr>
        <rFont val="Arial"/>
        <b/>
        <color theme="1"/>
        <sz val="11.0"/>
      </rPr>
      <t>Note:</t>
    </r>
    <r>
      <rPr>
        <rFont val="Arial"/>
        <color theme="1"/>
        <sz val="11.0"/>
      </rPr>
      <t xml:space="preserve"> In this exercise, you can see that </t>
    </r>
    <r>
      <rPr>
        <rFont val="Arial"/>
        <b/>
        <color theme="1"/>
        <sz val="11.0"/>
      </rPr>
      <t>Claude in Sheets is a powerful prompt evaluation tool</t>
    </r>
    <r>
      <rPr>
        <rFont val="Arial"/>
        <color theme="1"/>
        <sz val="11.0"/>
      </rPr>
      <t xml:space="preserve">. Using substitutions, you can </t>
    </r>
    <r>
      <rPr>
        <rFont val="Arial"/>
        <color theme="1"/>
        <sz val="11.0"/>
        <u/>
      </rPr>
      <t>easily check how well a prompt does in multiple contexts</t>
    </r>
    <r>
      <rPr>
        <rFont val="Arial"/>
        <color theme="1"/>
        <sz val="11.0"/>
      </rPr>
      <t xml:space="preserve"> by only modifying one prompt and yielding several responses from Claude as a result. Here, we evaluate the prompt across four instances, but you can easily expand this evaluation to as many rows as needed.</t>
    </r>
  </si>
  <si>
    <r>
      <rPr>
        <rFont val="Arial"/>
        <b/>
        <color theme="1"/>
        <sz val="11.0"/>
      </rPr>
      <t>Hint:</t>
    </r>
    <r>
      <rPr>
        <rFont val="Arial"/>
        <color theme="1"/>
        <sz val="11.0"/>
      </rPr>
      <t xml:space="preserve"> Sometimes the simplest way to go about this is to give Claude an example of how you want its output to look. Just don't forget that if you prefill Claude's response with anything, Claude won't actually output that as part of its response.
The conditional formatting in this exercise is looking for </t>
    </r>
    <r>
      <rPr>
        <rFont val="Arial"/>
        <b/>
        <color theme="1"/>
        <sz val="11.0"/>
      </rPr>
      <t>only</t>
    </r>
    <r>
      <rPr>
        <rFont val="Arial"/>
        <color theme="1"/>
        <sz val="11.0"/>
      </rPr>
      <t xml:space="preserve"> the correct letter wrapped in &lt;answer&gt; tags, such as "&lt;answer&gt;B&lt;/answer&gt;". The correct categorization letters are the same as in the above exercise. </t>
    </r>
  </si>
  <si>
    <t>← Chapter 6: Precognition (Thinking Step by Step)</t>
  </si>
  <si>
    <t>Chapter 7: Using Examples (Few-Shot Prompting) →</t>
  </si>
  <si>
    <t>Chapter 7: Using Examples (Few-Shot Prompting)</t>
  </si>
  <si>
    <r>
      <rPr>
        <rFont val="Arial"/>
        <b/>
        <color rgb="FF1F1F1F"/>
        <sz val="11.0"/>
      </rPr>
      <t xml:space="preserve">Giving Claude examples of how you want it to behave (or how you want it </t>
    </r>
    <r>
      <rPr>
        <rFont val="Arial"/>
        <b/>
        <i/>
        <color rgb="FF1F1F1F"/>
        <sz val="11.0"/>
      </rPr>
      <t>not</t>
    </r>
    <r>
      <rPr>
        <rFont val="Arial"/>
        <b/>
        <color rgb="FF1F1F1F"/>
        <sz val="11.0"/>
      </rPr>
      <t xml:space="preserve"> to behave) is extremely effective</t>
    </r>
    <r>
      <rPr>
        <rFont val="Arial"/>
        <color rgb="FF1F1F1F"/>
        <sz val="11.0"/>
      </rPr>
      <t xml:space="preserve"> for:
- Getting the right answer
- Getting the answer in the right format
This sort of prompting is also called </t>
    </r>
    <r>
      <rPr>
        <rFont val="Arial"/>
        <b/>
        <color rgb="FF1F1F1F"/>
        <sz val="11.0"/>
      </rPr>
      <t>"few shot prompting"</t>
    </r>
    <r>
      <rPr>
        <rFont val="Arial"/>
        <color rgb="FF1F1F1F"/>
        <sz val="11.0"/>
      </rPr>
      <t>. You might also encounter the phrase "zero-shot" or "n-shot" or "one-shot". The number of "shots" refers to how many examples are used within the prompt.</t>
    </r>
  </si>
  <si>
    <r>
      <rPr>
        <rFont val="Arial"/>
        <color theme="1"/>
        <sz val="11.0"/>
      </rPr>
      <t xml:space="preserve">Pretend you're a developer trying to build a "parent bot" that responds to questions from kids. </t>
    </r>
    <r>
      <rPr>
        <rFont val="Arial"/>
        <color theme="1"/>
        <sz val="11.0"/>
        <u/>
      </rPr>
      <t>Claude's default response is quite formal and robotic</t>
    </r>
    <r>
      <rPr>
        <rFont val="Arial"/>
        <color theme="1"/>
        <sz val="11.0"/>
      </rPr>
      <t>. This is going to break a child's heart.</t>
    </r>
  </si>
  <si>
    <t>User: Will Santa bring me presents on Christmas?</t>
  </si>
  <si>
    <r>
      <rPr>
        <rFont val="Arial"/>
        <color theme="1"/>
        <sz val="11.0"/>
      </rPr>
      <t xml:space="preserve">You could take the time to describe your desired tone, but it's much easier just to </t>
    </r>
    <r>
      <rPr>
        <rFont val="Arial"/>
        <color theme="1"/>
        <sz val="11.0"/>
        <u/>
      </rPr>
      <t>give Claude a few examples of ideal responses</t>
    </r>
    <r>
      <rPr>
        <rFont val="Arial"/>
        <color theme="1"/>
        <sz val="11.0"/>
      </rPr>
      <t>.</t>
    </r>
  </si>
  <si>
    <t>User: Please complete the conversation by writing the next line, speaking as "A".
Q: Is the tooth fairy real?
A: Of course, sweetie. Wrap up your tooth and put it under your pillow tonight. There might be something waiting for you in the morning.
Q: Will Santa bring me presents on Christmas?</t>
  </si>
  <si>
    <r>
      <rPr>
        <rFont val="Arial"/>
        <color theme="1"/>
        <sz val="11.0"/>
      </rPr>
      <t xml:space="preserve">In the following formatting example, we </t>
    </r>
    <r>
      <rPr>
        <rFont val="Arial"/>
        <i/>
        <color theme="1"/>
        <sz val="11.0"/>
      </rPr>
      <t>could</t>
    </r>
    <r>
      <rPr>
        <rFont val="Arial"/>
        <color theme="1"/>
        <sz val="11.0"/>
      </rPr>
      <t xml:space="preserve"> walk Claude step by step through a set of formatting instructions on how to extract names and professions and then format them exactly the way we want, or we could just </t>
    </r>
    <r>
      <rPr>
        <rFont val="Arial"/>
        <color theme="1"/>
        <sz val="11.0"/>
        <u/>
      </rPr>
      <t>provide Claude with some correctly-formatted examples and Claude can extrapolate from there</t>
    </r>
    <r>
      <rPr>
        <rFont val="Arial"/>
        <color theme="1"/>
        <sz val="11.0"/>
      </rPr>
      <t xml:space="preserve">. Note the "&lt;individuals&gt;" after "Assistant:" to start Claude off on the right foot.
</t>
    </r>
    <r>
      <rPr>
        <rFont val="Arial"/>
        <b/>
        <color theme="1"/>
        <sz val="11.0"/>
      </rPr>
      <t>Tip:</t>
    </r>
    <r>
      <rPr>
        <rFont val="Arial"/>
        <color theme="1"/>
        <sz val="11.0"/>
      </rPr>
      <t xml:space="preserve"> Double click on the prompt cell to scroll through the entire long prompt.</t>
    </r>
  </si>
  <si>
    <t>User: Silvermist Hollow, a charming village, was home to an extraordinary group of individuals. Among them was Dr. Liam Patel, a neurosurgeon who revolutionized surgical techniques at the regional medical center. Olivia Chen was an innovative architect who transformed the village's landscape with her sustainable and breathtaking designs. The local theater was graced by the enchanting symphonies of Ethan Kovacs, a professionally-trained musician and composer. Isabella Torres, a self-taught chef with a passion for locally sourced ingredients, created a culinary sensation with her farm-to-table restaurant, which became a must-visit destination for food lovers. These remarkable individuals, each with their distinct talents, contributed to the vibrant tapestry of life in Silvermist Hollow.
&lt;individuals&gt;
1. Dr. Liam Patel [NEUROSURGEON]
2. Olivia Chen [ARCHITECT]
3. Ethan Kovacs [MISICIAN AND COMPOSER]
4. Isabella Torres [CHEF]
&lt;/individuals&gt;
At the heart of the town, Chef Oliver Hamilton has transformed the culinary scene with his farm-to-table restaurant, Green Plate. Oliver's dedication to sourcing local, organic ingredients has earned the establishment rave reviews from food critics and locals alike.
Just down the street, you'll find the Riverside Grove Library, where head librarian Elizabeth Chen has worked diligently to create a welcoming and inclusive space for all. Her efforts to expand the library's offerings and establish reading programs for children have had a significant impact on the town's literacy rates.
As you stroll through the charming town square, you'll be captivated by the beautiful murals adorning the walls. These masterpieces are the work of renowned artist, Isabella Torres, whose talent for capturing the essence of Riverside Grove has brought the town to life.
Riverside Grove's athletic achievements are also worth noting, thanks to former Olympic swimmer-turned-coach, Marcus Jenkins. Marcus has used his experience and passion to train the town's youth, leading the Riverside Grove Swim Team to several regional championships.
&lt;individuals&gt;
1. Oliver Hamilton [CHEF]
2. Elizabeth Chen [LIBRARIAN]
3. Isabella Torres [ARTIST]
4. Marcus Jenkins [COACH]
&lt;/individuals&gt;
Oak Valley, a charming small town, is home to a remarkable trio of individuals whose skills and dedication have left a lasting impact on the community.
At the town's bustling farmer's market, you'll find Laura Simmons, a passionate organic farmer known for her delicious and sustainably grown produce. Her dedication to promoting healthy eating has inspired the town to embrace a more eco-conscious lifestyle.
In Oak Valley's community center, Kevin Alvarez, a skilled dance instructor, has brought the joy of movement to people of all ages. His inclusive dance classes have fostered a sense of unity and self-expression among residents, enriching the local arts scene.
Lastly, Rachel O'Connor, a tireless volunteer, dedicates her time to various charitable initiatives. Her commitment to improving the lives of others has been instrumental in creating a strong sense of community within Oak Valley.
Through their unique talents and unwavering dedication, Laura, Kevin, and Rachel have woven themselves into the fabric of Oak Valley, helping to create a vibrant and thriving small town.
Assistant: &lt;individuals&gt;</t>
  </si>
  <si>
    <r>
      <rPr>
        <rFont val="Arial"/>
        <color theme="1"/>
        <sz val="11.0"/>
      </rPr>
      <t xml:space="preserve">If you're ready to </t>
    </r>
    <r>
      <rPr>
        <rFont val="Arial"/>
        <color theme="1"/>
        <sz val="11.0"/>
        <u/>
      </rPr>
      <t>try the chapter exercises, click the link below</t>
    </r>
    <r>
      <rPr>
        <rFont val="Arial"/>
        <color theme="1"/>
        <sz val="11.0"/>
      </rPr>
      <t>. If you want to play around with any of the examples in this lesson, scroll down!</t>
    </r>
  </si>
  <si>
    <t>Chapter 7 Exercises: Using Examples →</t>
  </si>
  <si>
    <r>
      <rPr>
        <rFont val="Arial"/>
        <color theme="1"/>
        <sz val="11.0"/>
      </rPr>
      <t xml:space="preserve">This is an area for you to </t>
    </r>
    <r>
      <rPr>
        <rFont val="Arial"/>
        <color theme="1"/>
        <sz val="11.0"/>
        <u/>
      </rPr>
      <t>experiment freely with the prompt examples shown in this lesson</t>
    </r>
    <r>
      <rPr>
        <rFont val="Arial"/>
        <color theme="1"/>
        <sz val="11.0"/>
      </rPr>
      <t xml:space="preserve">. Feel free to tweak prompts to see how it may affect Claude's responses.
</t>
    </r>
    <r>
      <rPr>
        <rFont val="Arial"/>
        <b/>
        <color theme="1"/>
        <sz val="11.0"/>
      </rPr>
      <t>Note:</t>
    </r>
    <r>
      <rPr>
        <rFont val="Arial"/>
        <color theme="1"/>
        <sz val="11.0"/>
      </rPr>
      <t xml:space="preserve"> The colors in the cells, which have been carried over from above, will not change even if the prompt or Claude's response changes.</t>
    </r>
  </si>
  <si>
    <t>User: In the bustling town of Emerald Hills, a diverse group of individuals made their mark. Sarah Martinez, a dedicated nurse, was known for her compassionate care at the local hospital. David Thompson, an innovative software engineer, worked tirelessly on groundbreaking projects that would revolutionize the tech industry. Meanwhile, Emily Nakamura, a talented artist and muralist, painted vibrant and thought-provoking pieces that adorned the walls of buildings and galleries alike. Lastly, Michael O'Connell, an ambitious entrepreneur, opened a unique, eco-friendly cafe that quickly became the town's favorite meeting spot. Each of these individuals contributed to the rich tapestry of the Emerald Hills community.
&lt;individuals&gt;
1. Sarah Martinez [NURSE]
2. David Thompson [SOFTWARE ENGINEER]
3. Emily Nakamura [ARTIST]
4. Michael O'Connell [ENTREPRENEUR]
&lt;/individuals&gt;
At the heart of the town, Chef Oliver Hamilton has transformed the culinary scene with his farm-to-table restaurant, Green Plate. Oliver's dedication to sourcing local, organic ingredients has earned the establishment rave reviews from food critics and locals alike.
Just down the street, you'll find the Riverside Grove Library, where head librarian Elizabeth Chen has worked diligently to create a welcoming and inclusive space for all. Her efforts to expand the library's offerings and establish reading programs for children have had a significant impact on the town's literacy rates.
As you stroll through the charming town square, you'll be captivated by the beautiful murals adorning the walls. These masterpieces are the work of renowned artist, Isabella Torres, whose talent for capturing the essence of Riverside Grove has brought the town to life.
Riverside Grove's athletic achievements are also worth noting, thanks to former Olympic swimmer-turned-coach, Marcus Jenkins. Marcus has used his experience and passion to train the town's youth, leading the Riverside Grove Swim Team to several regional championships.
&lt;individuals&gt;
1. Oliver Hamilton [CHEF]
2. Elizabeth Chen [LIBRARIAN]
3. Isabella Torres [ARTIST]
4. Marcus Jenkins [COACH]
&lt;/individuals&gt;
Oak Valley, a charming small town, is home to a remarkable trio of individuals whose skills and dedication have left a lasting impact on the community.
At the town's bustling farmer's market, you'll find Laura Simmons, a passionate organic farmer known for her delicious and sustainably grown produce. Her dedication to promoting healthy eating has inspired the town to embrace a more eco-conscious lifestyle.
In Oak Valley's community center, Kevin Alvarez, a skilled dance instructor, has brought the joy of movement to people of all ages. His inclusive dance classes have fostered a sense of unity and self-expression among residents, enriching the local arts scene.
Lastly, Rachel O'Connor, a tireless volunteer, dedicates her time to various charitable initiatives. Her commitment to improving the lives of others has been instrumental in creating a strong sense of community within Oak Valley.
Through their unique talents and unwavering dedication, Laura, Kevin, and Rachel have woven themselves into the fabric of Oak Valley, helping to create a vibrant and thriving small town.
Assistant: &lt;individuals&gt;</t>
  </si>
  <si>
    <t>← Chapter 6 Exercises: Precognition (Thinking Step by Step)</t>
  </si>
  <si>
    <t>Chapter 7: Using Examples (Few-Shot Prompting) - Exercises</t>
  </si>
  <si>
    <t>Exercise 7.1 - Email Formatting via Examples</t>
  </si>
  <si>
    <r>
      <rPr>
        <rFont val="Arial"/>
        <color theme="1"/>
        <sz val="11.0"/>
      </rPr>
      <t xml:space="preserve">We're going to redo Exercise 2 in Chapter 6, but this time, we're going to edit the yellow-highlighted Prompt Template box to </t>
    </r>
    <r>
      <rPr>
        <rFont val="Arial"/>
        <color theme="1"/>
        <sz val="11.0"/>
        <u/>
      </rPr>
      <t>use "few-shot" examples of emails + proper classification (and formatting) to get Claude to output the correct answer</t>
    </r>
    <r>
      <rPr>
        <rFont val="Arial"/>
        <color theme="1"/>
        <sz val="11.0"/>
      </rPr>
      <t xml:space="preserve">. We want the </t>
    </r>
    <r>
      <rPr>
        <rFont val="Arial"/>
        <b/>
        <color theme="1"/>
        <sz val="11.0"/>
        <u/>
      </rPr>
      <t>last letter</t>
    </r>
    <r>
      <rPr>
        <rFont val="Arial"/>
        <color theme="1"/>
        <sz val="11.0"/>
        <u/>
      </rPr>
      <t xml:space="preserve"> of Claude's output to be the letter of the category</t>
    </r>
    <r>
      <rPr>
        <rFont val="Arial"/>
        <color theme="1"/>
        <sz val="11.0"/>
      </rPr>
      <t xml:space="preserve">. </t>
    </r>
    <r>
      <rPr>
        <rFont val="Arial"/>
        <i/>
        <color theme="1"/>
        <sz val="11.0"/>
      </rPr>
      <t xml:space="preserve">Refer back to Chapter 6 Exercise 1 if you've forgotten the correct categories for each email.
</t>
    </r>
    <r>
      <rPr>
        <rFont val="Arial"/>
        <color theme="1"/>
        <sz val="11.0"/>
      </rPr>
      <t xml:space="preserve">Claude's response will turn </t>
    </r>
    <r>
      <rPr>
        <rFont val="Arial"/>
        <b/>
        <color rgb="FF34A853"/>
        <sz val="11.0"/>
      </rPr>
      <t>GREEN</t>
    </r>
    <r>
      <rPr>
        <rFont val="Arial"/>
        <color theme="1"/>
        <sz val="11.0"/>
      </rPr>
      <t xml:space="preserve"> if your prompt yields the correct answer.</t>
    </r>
  </si>
  <si>
    <t>Remember that these are the categories for the emails:</t>
  </si>
  <si>
    <t>Last Letter</t>
  </si>
  <si>
    <r>
      <rPr>
        <rFont val="Arial"/>
        <b/>
        <color theme="1"/>
        <sz val="11.0"/>
      </rPr>
      <t xml:space="preserve">Hint: </t>
    </r>
    <r>
      <rPr>
        <rFont val="Arial"/>
        <color theme="1"/>
        <sz val="11.0"/>
      </rPr>
      <t xml:space="preserve">You're going to have to </t>
    </r>
    <r>
      <rPr>
        <rFont val="Arial"/>
        <color theme="1"/>
        <sz val="11.0"/>
        <u/>
      </rPr>
      <t>write some example emails and classify them for Claude</t>
    </r>
    <r>
      <rPr>
        <rFont val="Arial"/>
        <color theme="1"/>
        <sz val="11.0"/>
      </rPr>
      <t xml:space="preserve"> (with the exact formatting you want). There are multiple ways to do this. Here are some guidelines below.</t>
    </r>
  </si>
  <si>
    <r>
      <rPr>
        <rFont val="Arial"/>
        <color theme="1"/>
        <sz val="11.0"/>
        <u/>
      </rPr>
      <t>Try to have at least two example emails</t>
    </r>
    <r>
      <rPr>
        <rFont val="Arial"/>
        <color theme="1"/>
        <sz val="11.0"/>
      </rPr>
      <t>. Claude doesn't need an example for all categories, and the examples don't have to be long. It's more helpful to h</t>
    </r>
    <r>
      <rPr>
        <rFont val="Arial"/>
        <color theme="1"/>
        <sz val="11.0"/>
        <u/>
      </rPr>
      <t>ave examples for whatever you think the trickier categories are</t>
    </r>
    <r>
      <rPr>
        <rFont val="Arial"/>
        <color theme="1"/>
        <sz val="11.0"/>
      </rPr>
      <t xml:space="preserve"> (which you were asked to think about at the bottom of Chapter 6 Exercise 1). XML tags will help you separate out your examples from the rest of your prompt, although it's unnecessary.</t>
    </r>
  </si>
  <si>
    <r>
      <rPr>
        <rFont val="Arial"/>
        <color theme="1"/>
        <sz val="11.0"/>
      </rPr>
      <t xml:space="preserve">Make sure your </t>
    </r>
    <r>
      <rPr>
        <rFont val="Arial"/>
        <color theme="1"/>
        <sz val="11.0"/>
        <u/>
      </rPr>
      <t>example answer formatting is exactly the format you want Claude to use</t>
    </r>
    <r>
      <rPr>
        <rFont val="Arial"/>
        <color theme="1"/>
        <sz val="11.0"/>
      </rPr>
      <t xml:space="preserve">, so Claude can emulate the format as well. This format should make it so that Claude's answer ends in the letter of the category. </t>
    </r>
    <r>
      <rPr>
        <rFont val="Arial"/>
        <color theme="1"/>
        <sz val="11.0"/>
        <u/>
      </rPr>
      <t>Wherever you put the {{EMAIL}} placeholder, make sure that it's formatted exactly like your example emails</t>
    </r>
    <r>
      <rPr>
        <rFont val="Arial"/>
        <color theme="1"/>
        <sz val="11.0"/>
      </rPr>
      <t>.</t>
    </r>
  </si>
  <si>
    <r>
      <rPr>
        <rFont val="Arial"/>
        <color theme="1"/>
        <sz val="11.0"/>
      </rPr>
      <t xml:space="preserve">Make sure you still </t>
    </r>
    <r>
      <rPr>
        <rFont val="Arial"/>
        <color theme="1"/>
        <sz val="11.0"/>
        <u/>
      </rPr>
      <t>have the categories listed</t>
    </r>
    <r>
      <rPr>
        <rFont val="Arial"/>
        <color theme="1"/>
        <sz val="11.0"/>
      </rPr>
      <t xml:space="preserve"> within the prompt itself, otherwise Claude won't know what categories to reference, as well as {</t>
    </r>
    <r>
      <rPr>
        <rFont val="Arial"/>
        <color theme="1"/>
        <sz val="11.0"/>
        <u/>
      </rPr>
      <t>{EMAIL}} as a placeholder</t>
    </r>
    <r>
      <rPr>
        <rFont val="Arial"/>
        <color theme="1"/>
        <sz val="11.0"/>
      </rPr>
      <t xml:space="preserve"> for substitution.</t>
    </r>
  </si>
  <si>
    <t>The conditional formatting of this exercise is looking for a response where the very last character of your response is the correct categorization letter ("B", "C", etc.). The letters in column K should match the letters in the blue cells in the chapter 6.1 exercise.</t>
  </si>
  <si>
    <r>
      <rPr>
        <rFont val="Arial"/>
        <b/>
        <color theme="1"/>
        <sz val="11.0"/>
      </rPr>
      <t>Answer:</t>
    </r>
    <r>
      <rPr>
        <rFont val="Arial"/>
        <color theme="1"/>
        <sz val="11.0"/>
      </rPr>
      <t xml:space="preserve"> Below is one way you could go about doing this.</t>
    </r>
  </si>
  <si>
    <r>
      <rPr>
        <rFont val="Arial"/>
        <color theme="1"/>
      </rPr>
      <t xml:space="preserve">User: Please classify emails into the following categories, and do not include explanations: 
</t>
    </r>
    <r>
      <rPr>
        <rFont val="Arial"/>
        <color rgb="FF9900FF"/>
      </rPr>
      <t xml:space="preserve">&lt;categories&gt;
(A) Pre-sale question
(B) Broken or defective item
(C) Billing question
(D) Other (please explain)
&lt;/categories&gt;
Here are a few examples of correct answer formatting:
&lt;examples&gt;
</t>
    </r>
    <r>
      <rPr>
        <rFont val="Arial"/>
        <color rgb="FFFF9900"/>
      </rPr>
      <t>Q: How much does it cost to buy a Mixmaster4000?</t>
    </r>
    <r>
      <rPr>
        <rFont val="Arial"/>
        <color rgb="FF9900FF"/>
      </rPr>
      <t xml:space="preserve">
</t>
    </r>
    <r>
      <rPr>
        <rFont val="Arial"/>
        <color rgb="FF34A853"/>
      </rPr>
      <t xml:space="preserve">A: The correct category is: A
</t>
    </r>
    <r>
      <rPr>
        <rFont val="Arial"/>
        <color rgb="FFFF9900"/>
      </rPr>
      <t>Q: My Mixmaster won't turn on.</t>
    </r>
    <r>
      <rPr>
        <rFont val="Arial"/>
        <color rgb="FF9900FF"/>
      </rPr>
      <t xml:space="preserve">
</t>
    </r>
    <r>
      <rPr>
        <rFont val="Arial"/>
        <color rgb="FF34A853"/>
      </rPr>
      <t xml:space="preserve">A: The correct category is: B
</t>
    </r>
    <r>
      <rPr>
        <rFont val="Arial"/>
        <color rgb="FFFF9900"/>
      </rPr>
      <t>Q: Please remove me from your mailing list.</t>
    </r>
    <r>
      <rPr>
        <rFont val="Arial"/>
        <color rgb="FF9900FF"/>
      </rPr>
      <t xml:space="preserve">
</t>
    </r>
    <r>
      <rPr>
        <rFont val="Arial"/>
        <color rgb="FF34A853"/>
      </rPr>
      <t>A: The correct category is: D</t>
    </r>
    <r>
      <rPr>
        <rFont val="Arial"/>
        <color rgb="FF9900FF"/>
      </rPr>
      <t xml:space="preserve">
&lt;/examples&gt;
Here is the email for you to categorize: {{EMAIL}}</t>
    </r>
    <r>
      <rPr>
        <rFont val="Arial"/>
        <color theme="1"/>
      </rPr>
      <t xml:space="preserve">
Assistant: </t>
    </r>
    <r>
      <rPr>
        <rFont val="Arial"/>
        <color rgb="FF34A853"/>
      </rPr>
      <t>The correct category is:</t>
    </r>
  </si>
  <si>
    <t>1. Have at least two example emails</t>
  </si>
  <si>
    <t>2. Have correct answer formatting</t>
  </si>
  <si>
    <t>4. Have {{EMAIL}} + categories</t>
  </si>
  <si>
    <t>← Chapter 7: Using Examples (Few-Shot Prompting)</t>
  </si>
  <si>
    <t>Chapter 8: Avoiding Hallucinations →</t>
  </si>
  <si>
    <r>
      <rPr>
        <rFont val="Arial"/>
        <color rgb="FF1F1F1F"/>
        <sz val="11.0"/>
      </rPr>
      <t xml:space="preserve">Some bad news: </t>
    </r>
    <r>
      <rPr>
        <rFont val="Arial"/>
        <b/>
        <color rgb="FF1F1F1F"/>
        <sz val="11.0"/>
      </rPr>
      <t>Claude sometimes "hallucinates"</t>
    </r>
    <r>
      <rPr>
        <rFont val="Arial"/>
        <color rgb="FF1F1F1F"/>
        <sz val="11.0"/>
      </rPr>
      <t xml:space="preserve"> </t>
    </r>
    <r>
      <rPr>
        <rFont val="Arial"/>
        <b/>
        <color rgb="FF1F1F1F"/>
        <sz val="11.0"/>
      </rPr>
      <t>and makes claims that are untrue or unjustified.</t>
    </r>
    <r>
      <rPr>
        <rFont val="Arial"/>
        <color rgb="FF1F1F1F"/>
        <sz val="11.0"/>
      </rPr>
      <t xml:space="preserve"> The good news: there are techniques you can use to minimize hallucinations.</t>
    </r>
  </si>
  <si>
    <t>Below, we'll go over a few of these techniques, namely:</t>
  </si>
  <si>
    <t>-</t>
  </si>
  <si>
    <t>Giving Claude the option to say it doesn't know the answer to a question</t>
  </si>
  <si>
    <t>Asking Claude to find evidence before answering</t>
  </si>
  <si>
    <r>
      <rPr>
        <color rgb="FF1F1F1F"/>
        <sz val="11.0"/>
      </rPr>
      <t xml:space="preserve">
However, </t>
    </r>
    <r>
      <rPr>
        <b/>
        <color rgb="FF1F1F1F"/>
        <sz val="11.0"/>
      </rPr>
      <t xml:space="preserve">there are many </t>
    </r>
    <r>
      <rPr>
        <b/>
        <color rgb="FF1155CC"/>
        <sz val="11.0"/>
        <u/>
      </rPr>
      <t>methods to avoid hallucinations</t>
    </r>
    <r>
      <rPr>
        <color rgb="FF1F1F1F"/>
        <sz val="11.0"/>
      </rPr>
      <t>, including many of the techniques you've already learned in this course. If Claude hallucinates, experiment with multiple techniques to get Claude to increase its accuracy.</t>
    </r>
  </si>
  <si>
    <r>
      <rPr>
        <rFont val="Arial"/>
        <color theme="1"/>
        <sz val="11.0"/>
      </rPr>
      <t xml:space="preserve">Here is a question about general factual knowledge in answer to which </t>
    </r>
    <r>
      <rPr>
        <rFont val="Arial"/>
        <color theme="1"/>
        <sz val="11.0"/>
        <u/>
      </rPr>
      <t>Claude hallucinates several large hippos because it's trying to be as helpful as possible</t>
    </r>
    <r>
      <rPr>
        <rFont val="Arial"/>
        <color theme="1"/>
        <sz val="11.0"/>
      </rPr>
      <t>.</t>
    </r>
  </si>
  <si>
    <t>User: Who is the heaviest hippo of all time?</t>
  </si>
  <si>
    <r>
      <rPr>
        <rFont val="Arial"/>
        <color theme="1"/>
        <sz val="11.0"/>
      </rPr>
      <t xml:space="preserve">A solution we can try here is to </t>
    </r>
    <r>
      <rPr>
        <rFont val="Arial"/>
        <color theme="1"/>
        <sz val="11.0"/>
        <u/>
      </rPr>
      <t>"give Claude an out"</t>
    </r>
    <r>
      <rPr>
        <rFont val="Arial"/>
        <color theme="1"/>
        <sz val="11.0"/>
      </rPr>
      <t xml:space="preserve"> — tell Claude that it's OK for it to decline to answer, or to only answer if it actually knows the answer with certainty.</t>
    </r>
  </si>
  <si>
    <t>User: Who is the heaviest hippo of all time? Only answer if you know the answer with certainty.</t>
  </si>
  <si>
    <r>
      <rPr>
        <rFont val="Arial"/>
        <color theme="1"/>
        <sz val="11.0"/>
      </rPr>
      <t xml:space="preserve">In the prompt below, we give Claude a long document containing some "distractor information" that is almost but not quite relevant to the user's question. </t>
    </r>
    <r>
      <rPr>
        <rFont val="Arial"/>
        <color theme="1"/>
        <sz val="11.0"/>
        <u/>
      </rPr>
      <t>Without prompting help, Claude falls for the distractor information</t>
    </r>
    <r>
      <rPr>
        <rFont val="Arial"/>
        <color theme="1"/>
        <sz val="11.0"/>
      </rPr>
      <t xml:space="preserve"> and gives an incorrect "hallucinated" answer as to the size of Matterport's subscriber base as of May 31, 2020.
</t>
    </r>
    <r>
      <rPr>
        <rFont val="Arial"/>
        <b/>
        <color theme="1"/>
        <sz val="11.0"/>
      </rPr>
      <t>Note:</t>
    </r>
    <r>
      <rPr>
        <rFont val="Arial"/>
        <color theme="1"/>
        <sz val="11.0"/>
      </rPr>
      <t xml:space="preserve"> As you'll learn later in the next chapter, </t>
    </r>
    <r>
      <rPr>
        <rFont val="Arial"/>
        <b/>
        <color theme="1"/>
        <sz val="11.0"/>
      </rPr>
      <t xml:space="preserve">it's best practice to have the question at the bottom </t>
    </r>
    <r>
      <rPr>
        <rFont val="Arial"/>
        <b/>
        <i/>
        <color theme="1"/>
        <sz val="11.0"/>
      </rPr>
      <t>after</t>
    </r>
    <r>
      <rPr>
        <rFont val="Arial"/>
        <b/>
        <color theme="1"/>
        <sz val="11.0"/>
      </rPr>
      <t xml:space="preserve"> any text or document</t>
    </r>
    <r>
      <rPr>
        <rFont val="Arial"/>
        <color theme="1"/>
        <sz val="11.0"/>
      </rPr>
      <t>, but we put it at the top here to make the prompt easier to read. Feel free to double click on the prompt cell to get the full prompt text (it's very long!).</t>
    </r>
  </si>
  <si>
    <r>
      <rPr>
        <rFont val="Arial"/>
        <color theme="1"/>
      </rPr>
      <t xml:space="preserve">User: &lt;question&gt;What was Matterport's subscriber base on the precise date of May 31, 2020?&lt;/question&gt;
Please read the below document. Then write a brief numerical answer inside &lt;answer&gt; tags.
&lt;document&gt;
Matterport SEC filing 10-K 2023
Item 1. Business
Our Company
Matterport is leading the digitization and datafication of the built world. We believe the digital transformation of the built world will fundamentally change the way people interact with buildings and the physical spaces around them.
Since its founding in 2011, Matterport’s pioneering technology has set the standard for digitizing, accessing and managing buildings, spaces and places online. Our platform’s innovative software, spatial data-driven data science, and 3D capture technology have broken down the barriers that have kept the largest asset class in the world, buildings and physical spaces, offline and underutilized for many years. We believe the digitization and datafication of the built world will continue to unlock significant operational efficiencies and property values, and that Matterport is the platform to lead this enormous global transformation.
The world is rapidly moving from offline to online. Digital transformation has made a powerful and lasting impact across every business and industry today. According to International Data Corporation, or IDC, over $6.8 trillion of direct investments will be made on digital transformation from 2020 to 2023, the global digital transformation spending is forecasted to reach $3.4 trillion in 2026 with a five-year compound annual growth rate (“CAGR”) of 16.3%, and digital twin investments are expected to have a five-year CAGR of 35.2%. With this secular shift, there is also growing demand for the built world to transition from physical to digital. Nevertheless, the vast majority of buildings and spaces remain offline and undigitized. The global building stock, estimated by Savills to be $327 trillion in total property value as of 2021, remains largely offline today, and we estimate that less than 0.1% is penetrated by digital transformation.
Matterport was among the first to recognize the increasing need for digitization of the built world and the power of spatial data, the unique details underlying buildings and spaces, in facilitating the understanding of buildings and spaces. In the past, technology advanced physical road maps to the data-rich, digital maps and location services we all rely on today. Matterport now digitizes buildings, creating a data-rich environment to vastly increase our understanding and the full potential of each and every space we capture. Just as we can instantly, at the touch of a button, learn the fastest route from one city to another or locate the nearest coffee shops, Matterport’s spatial data for buildings unlocks a rich set of insights and learnings about properties and spaces worldwide. In addition, just as the geo-spatial mapping platforms of today have opened their mapping data to industry to create new business models such as ridesharing, e-commerce, food delivery marketplaces, and even short-term rental and home sharing, open access to Matterport’s structured spatial data is enabling new opportunities and business models for hospitality, facilities management, insurance, construction, real estate and retail, among others.
We believe the total addressable market opportunity for digitizing the built world is over $240 billion, and could be as high as $1 trillion as the market matures at scale. This is based on our analysis, modeling and understanding of the global building stock of over 4 billion properties and 20 billion spaces in the world today. With the help of artificial intelligence (“AI”), machine learning (“ML”) and deep learning (“DL”) technologies, we believe that, with the additional monetization opportunities from powerful spatial data-driven property insights and analytics, the total addressable market for the digitization and datafication of the built world will reach more than $1 trillion.
Our spatial data platform and capture of digital twins deliver value across a diverse set of industries and use cases. Large retailers can manage thousands of store locations remotely, real estate agencies can provide virtual open houses for hundreds of properties and thousands of visitors at the same time, property developers can monitor the entirety of the construction process with greater detail and speed, and insurance companies can more precisely document and evaluate claims and underwriting assessments with efficiency and precision. Matterport delivers the critical digital experience, tools and information that matter to our subscribers about properties of virtually any size, shape, and location worldwide.
For nearly a decade, we have been growing our spatial data platform and expanding our capabilities in order to create the most detailed, accurate, and data-rich digital twins available. Moreover, our 3D reconstruction process is fully automated, allowing our solution to scale with equal precision to millions of buildings and spaces of any type, shape, and size in the world. The universal applicability of our service provides Matterport significant scale and reach across diverse verticals and any geography. </t>
    </r>
    <r>
      <rPr>
        <rFont val="Arial"/>
        <b/>
        <color theme="1"/>
      </rPr>
      <t>As of December 31, 2022, our subscriber base had grown approximately 39% to over 701,000 subscribers from 503,000 subscribers as of December 31, 2021</t>
    </r>
    <r>
      <rPr>
        <rFont val="Arial"/>
        <color theme="1"/>
      </rPr>
      <t>, with our digital twins reaching more than 170 countries. We have digitized more than 28 billion square feet of space across multiple industries, representing significant scale and growth over the rest of the market.
As we continue to transform buildings into data worldwide, we are extending our spatial data platform to further transform property planning, development, management and intelligence for our subscribers across industries to become the de facto building and business intelligence engine for the built world. We believe the demand for spatial data and resulting insights for enterprises, businesses and institutions across industries, including real estate, architecture, engineering and construction (“AEC”), retail, insurance and government, will continue to grow rapidly.
We believe digitization and datafication represent a tremendous greenfield opportunity for growth across this massive category and asset class. From the early stages of design and development to marketing, operations, insurance and building repair and maintenance, our platform’s software and technology provide subscribers critical tools and insights to drive cost savings, increase revenues and optimally manage their buildings and spaces. We believe that hundreds of billions of dollars in unrealized utilization and operating efficiencies in the built world can be unlocked through the power of our spatial data platform. Our platform and data solutions have universal applicability across industries and building categories, giving Matterport a significant advantage as we can address the entirety of this large market opportunity and increase the value of what we believe to be the largest asset class in the world.
With a demonstrated track record of delivering value to our subscribers, our offerings include software subscription, data licensing, services and product hardware. As of December 31, 2022, our subscriber base included over 24% of Fortune 1000 companies, with less than 10% of our total revenue generated from our top 10 subscribers. We expect more than 80% of our revenue to come from our software subscription and data license solutions by 2025. Our innovative 3D capture products, the Pro2 and Pro3 Cameras, have played an integral part in shaping the 3D building and property visualization ecosystem. The Pro2 and Pro3 Cameras have driven adoption of our solutions and have generated the unique high-quality and scaled data set that has enabled Cortex, our proprietary AI software engine, to become the pioneering engine for digital twin creation. With this data advantage initially spurred by the Pro2 Camera, we have developed a capture device agnostic platform that scales and can generate new building and property insights for our subscribers across industries and geographies.
We have recently experienced rapid growth. Our subscribers have grown approximately 49-fold from December 31, 2018 to December 31, 2022. Our revenue increased by approximately 22% to $136.1 million for the year ended December 31, 2022, from approximately $111.2 million for the year ended December 31, 2021. Our gross profit decreased by $8.1 million or 14%, to $51.8 million for the year ended December 31, 2022, from $60.0 million for the year ended December 31, 2021, primarily attributable to certain disruptive and incremental costs due to the global supply chain constraints in fiscal year 2022. Our ability to retain and grow the subscription revenue generated by our existing subscribers is an important measure of the health of our business and our future growth prospects. We track our performance in this area by measuring our net dollar expansion rate from the same set of customers across comparable periods. Our net dollar expansion rate of 103% for the three months ended December 31, 2022 demonstrates the stickiness and growth potential of our platform.
Our Industry and Market Opportunity
Today, the vast majority of buildings and spaces remain undigitized. We estimate our current serviceable addressable market includes approximately 1.3 billion spaces worldwide, primarily from the real estate and travel and hospitality sectors. With approximately 9.2 million spaces under management as of December 31, 2022, we are continuing to penetrate the global building stock and expand our footprint across various end markets, including residential and commercial real estate, facilities management, retail, AEC, insurance and repair, and travel and hospitality. We estimate our total addressable market to be more than 4 billion buildings and 20 billion spaces globally, yielding a more than $240 billion market opportunity. We believe that as Matterport’s unique spatial data library and property data services continue to grow, this opportunity could increase to more than $1 trillion based on the size of the building stock and the untapped value creation available to buildings worldwide. The constraints created by the COVID-19 pandemic have only reinforced and accelerated the importance of our scaled 3D capture solution that we have developed for diverse industries and markets over the past decade.
Our Spatial Data Platform
Overview
Our technology platform uses spatial data collected from a wide variety of digital capture devices to transform physical buildings and spaces into dimensionally accurate, photorealistic digital twins that provide our subscribers access to previously unavailable building information and insights.
As a first mover in this massive market for nearly a decade, we have developed and scaled our industry-leading 3D reconstruction technology powered by Cortex, our proprietary AI-driven software engine that uses machine learning to recreate a photorealistic, 3D virtual representation of an entire building structure, including contents, equipment and furnishings. The finished product is a detailed and dynamic replication of the physical space that can be explored, analyzed and customized from a web browser on any device, including smartphones. The power to manage even large-scale commercial buildings is in the palm of each subscriber’s hands, made possible by our advanced technology and breakthrough innovations across our entire spatial data technology stack.
Key elements of our spatial data platform include:
•Bringing offline buildings online. Traditionally, our customers needed to conduct in-person site visits to understand and assess their buildings and spaces. While photographs and floor plans can be helpful, these forms of two-dimensional (“2D”) representation have limited information and tend to be static and rigid, and thus lack the interactive element critical to a holistic understanding of each building and space. With the AI-powered capabilities of Cortex, our proprietary AI software, representation of physical objects is no longer confined to static 2D images and physical visits can be eliminated. Cortex helps to move the buildings and spaces from offline to online and makes them accessible to our customers in real-time and on demand from anywhere. After subscribers scan their buildings, our visualization algorithms accurately infer spatial positions and depths from flat, 2D imagery captured through the scans and transform them into high- fidelity and precise digital twin models. This creates a fully automated image processing pipeline to ensure that each digital twin is of professional grade image quality.
•Driven by spatial data. We are a data-driven company. Each incremental capture of a space grows the richness and depth of our spatial data library. Spatial data represents the unique and idiosyncratic details that underlie and compose the buildings and spaces in the human- made environment. Cortex uses the breadth of the billions of data points we have accumulated over the years to improve the 3D accuracy of our digital twins. We help our subscribers pinpoint the height, location and other characteristics of objects in their digital twin. Our sophisticated algorithms also deliver significant commercial value to our subscribers by generating data-based insights that allow them to confidently make assessments and decisions about their properties. For instance, property developers can assess the amount of natural heat and daylight coming from specific windows, retailers can ensure each store layout is up to the same level of code and brand requirements, and factories can insure machinery layouts meet specifications and location guidelines. With approximately 9.2 million spaces under management as of December 31, 2022, our spatial data library is the clearinghouse for information about the built world.
•Powered by AI and ML. Artificial intelligence and machine learning technologies effectively utilize spatial data to create a robust virtual experience that is dynamic, realistic, interactive, informative and permits multiple viewing angles. AI and ML also make costly cameras unnecessary for everyday scans—subscribers can now scan their spaces by simply tapping a button on their smartphones. As a result, Matterport is a device agnostic platform, helping us more rapidly scale and drive towards our mission of digitizing and indexing the built world.
Our value proposition to subscribers is designed to serve the entirety of the digital building lifecycle, from design and build to maintenance and operations, promotion, sale, lease, insure, repair, restore, secure and finance. As a result, we believe we are uniquely positioned to grow our revenue with our subscribers as we help them to discover opportunities to drive short- and long-term return on investment by taking their buildings and spaces from offline to online across their portfolios of properties.
Ubiquitous Capture
Matterport has become the standard for 3D space capture. Our technology platform empowers subscribers worldwide to quickly, easily and accurately digitize, customize and manage interactive and dimensionally accurate digital twins of their buildings and spaces.
The Matterport platform is designed to work with a wide range of LiDAR, spherical, 3D and 360 cameras, as well as smartphones, to suit the capture needs of all of our subscribers. This provides the flexibility to capture a space of any size, scale, and complexity, at anytime and anywhere.
•Matterport Pro3 is our newest 3D camera that scans properties faster than earlier versions to help accelerate project completion. Pro3 provides the highest accuracy scans of both indoor and outdoor spaces and is designed for speed, fidelity, versatility and accuracy. Capturing 3D data up to 100 meters away at less than 20 seconds per sweep, Pro3’s ultra-fast, high-precision LiDAR sensor can run for hours and takes millions of measurements in any conditions.
•Matterport Pro2 is our proprietary 3D camera that has been used to capture millions of spaces around the world with a high degree of fidelity, precision, speed and simplicity. Capable of capturing buildings more than 500,000 square feet in size, it has become the camera of choice for many residential, commercial, industrial and large-scale properties.
•360 Cameras. Matterport supports a selection of 360 cameras available in the market. These affordable, pocket sized devices deliver precision captures with high fidelity and are appropriate for capturing smaller homes, condos, short-term rentals, apartments, and more. The spherical lens image capture technology of these devices gives Cortex robust, detailed image data to transform panoramas into our industry-leading digital twins.
•LEICA BLK360. Through our partnership with Leica, our 3D reconstruction technology and our AI powered software engine, Cortex, transform this powerful LiDAR camera into an ultra-precise capture device for creating Matterport digital twins. It is the solution of choice for AEC professionals when exacting precision is required.
•Smartphone Capture. Our capture apps are commercially available for both iOS and Android. Matterport’s smartphone capture solution has democratized 3D capture, making it easy and accessible for anyone to digitize buildings and spaces with a recent iPhone device since the initial introduction of Matterport for iPhone in May 2020. In April 2021, we announced the official release of the Android Capture app, giving Android users the ability to quickly and easily capture buildings and spaces in immersive 3D. In February 2022, we launched Matterport Axis, a motorized mount that holds a smartphone and can be used with the Matterport Capture app to capture 3D digital twins of any physical space with increased speed, precision, and consistency.
Cortex and 3D Reconstruction (the Matterport Digital Twin)
With a spatial data library, as of December 31, 2022, of approximately 9.2 million spaces under management, representing approximately 28 billion captured square feet of space, we use our advanced ML and DL technologies to algorithmically transform the spatial data we capture into an accurate 3D digital reproduction of any physical space. This intelligent, automated 3D reconstruction is made possible by Cortex, our AI-powered software engine that includes a deep learning neural network that uses our spatial data library to understand how a building or space is divided into floors and rooms, where the doorways and openings are located, and what types of rooms are present, such that those forms are compiled and aligned with dimensional accuracy into a dynamic, photorealistic digital twin. Other components of Cortex include AI-powered computer vision technologies to identify and classify the contents inside a building or space, and object recognition technologies to identify and segment everything from furnishings and equipment to doors, windows, light fixtures, fire suppression sprinklers and fire escapes. Our highly scalable artificial intelligence platform enables our subscribers to tap into powerful, enhanced building data and insights at the click of a button.
The Science Behind the Matterport Digital Twin: Cortex AI Highlights
Matterport Runs on Cortex
Cortex is our AI-powered software engine that includes a precision deep learning neural network to create digital twins of any building or space. Developed using our proprietary spatial data captured with our Pro2 and Pro3 cameras, Cortex delivers a high degree of precision and accuracy while enabling 3D capture using everyday devices.
Generic neural networks struggle with 3D reconstruction of the real world. Matterport-optimized networks deliver more accurate and robust results. More than just raw training data, Matterport’s datasets allow us to develop new neural network architectures and evaluate them against user behavior and real-world data in millions of situations.
•Deep learning: Connecting and optimizing the detailed neural network data architecture of each space is key to creating robust, highly accurate 3D digital twins. Cortex evaluates and optimizes each 3D model against Matterport’s rich spatial data aggregated from millions of buildings and spaces and the human annotations of those data provided by tens of thousands of subscribers worldwide. Cortex’s evaluative abilities and its data-driven optimization of 3D reconstruction yield consistent, high-precision results across a wide array of building configurations, spaces and environments.
•Dynamic 3D reconstruction: Creating precise 3D spatial data at scale from 2D visuals and static images requires a combination of photorealistic, detailed data from multiple viewpoints and millions of spaces that train and optimize Cortex’s neural network and learning capabilities for improved 3D reconstruction of any space. Cortex’s capabilities combined with real-time spatial alignment algorithms in our 3D capture technology create an intuitive “preview” of any work in progress, allowing subscribers to work with their content interactively and in real-time.
•Computer vision: Cortex enables a suite of powerful features to enhance the value of digital twins. These include automatic measurements for rooms or objects in a room, automatic 2D-from-3D high-definition photo gallery creation, auto face blurring for privacy protection, custom videos, walkthroughs, auto room labeling and object recognition.
•Advanced image processing: Matterport’s computational photography algorithms create a fully automated image processing pipeline to help ensure that each digital twin is of professional grade image quality. Our patented technology makes 3D capture as simple as pressing a single button. Matterport’s software and technology manage the remaining steps, including white balance and camera-specific color correction, high dynamic range tone mapping, de-noising, haze removal, sharpening, saturation and other adjustments to improve image quality.
Spatial Data and AI-Powered Insights
Every Matterport digital twin contains extensive information about a building, room or physical space. The data uses our AI-powered Cortex engine. In addition to the Matterport digital twin itself, our spatial data consists of precision building geometry and structural detail, building contents, fixtures and condition, along with high-definition imagery and photorealistic detail from many vantage points in a space. Cortex employs a technique we call deep spatial indexing. Deep spatial indexing uses artificial intelligence, computer vision and deep learning to identify and convey important details about each space, its structure and its contents with precision and fidelity. We have created a robust spatial data standard that enables Matterport subscribers to harness an interoperable digital system of record for any building.
In addition to creating a highly interactive digital experience for subscribers through the construction of digital twins, we ask ourselves two questions for every subscriber: (1) what is important about their building or physical space and (2) what learnings and insights can we deliver for this space? Our AI-powered Cortex engine helps us answer these questions using our spatial data library to provide aggregated property trends and operational and valuation insights. Moreover, as the Matterport platform ecosystem continues to expand, our subscribers, partners and other third-party developers can bring their own tools to further the breadth and depth of insights they can harvest from our rich spatial data layer.
Extensible Platform Ecosystem
Matterport offers the largest and most accurate library of spatial data in the world, with, as of December 31, 2022, approximately 9.2 million spaces under management and approximately 28 billion captured square feet. The versatility of our spatial data platform and extensive enterprise software development kit and application programming interfaces (“APIs”) has allowed us to develop a robust global ecosystem of channels and partners that extend the Matterport value proposition by geography and vertical market. We intend to continue to deploy a broad set of workflow integrations with our partners and their subscribers to promote an integrated Matterport solution across our target markets. We are also developing a third-party software marketplace to extend the power of our spatial data platform with easy-to-deploy and easy-to-access Matterport software add-ons. The marketplace enables developers to build new applications and spatial data mining tools, enhance the Matterport 3D experience, and create new productivity and property management tools that supplement our core offerings. These value-added capabilities created by third-party developers enable a scalable new revenue stream, with Matterport sharing the subscription and services revenue from each add-on that is deployed to subscribers through the online marketplace. The network effects of our platform ecosystem contributes to the growth of our business, and we believe that it will continue to bolster future growth by enhancing subscriber stickiness and user engagement.
Examples of Matterport add-ons and extensions include:
•Add-ons: Encircle (easy-to-use field documentation tools for faster claims processing); WP Matterport Shortcode (free Wordpress plugin that allows Matterport to be embedded quickly and easily with a Matterport shortcode), WP3D Models (WordPress + Matterport integration plugin); Rela (all-in-one marketing solution for listings); CAPTUR3D (all-in-one Content Management System that extends value to Matterport digital twins); Private Model Emded (feature that allows enterprises to privately share digital twins with a large group of employees on the corporate network without requiring additional user licenses); Views (new workgroup collaboration framework to enable groups and large organizations to create separate, permissions-based workflows to manage different tasks with different teams); and Guided Tours and Tags (tool to elevate the visitor experience by creating directed virtual tours of any commercial or residential space tailored to the interests of their visitors). We unveiled our private beta integration with Amazon Web Services (AWS) IoT TwinMaker to enable enterprise customers to seamlessly connect IoT data into visually immersive and dimensionally accurate Matterport digital twin.
•Services: Matterport ADA Compliant Digital Twin (solution to provide American Disability Act compliant digital twins) and Enterprise Cloud Software Platform (reimagined cloud software platform for the enterprise that creates, publishes, and manages digital twins of buildings and spaces of any size of shape, indoors or outdoors).
Our Competitive Strengths
We believe that we have a number of competitive strengths that will enable our market leadership to grow. Our competitive strengths include:
•Breadth and depth of the Matterport platform. Our core strength is our all-in-one spatial data platform with broad reach across diverse verticals and geographies such as capture to processing to industries without customization. With the ability to integrate seamlessly with various enterprise systems, our platform delivers value across the property lifecycle for diverse end markets, including real estate, AEC, travel and hospitality, repair and insurance, and industrial and facilities. As of December 31, 2022, our global reach extended to subscribers in more than 170 countries, including over 24% of Fortune 1000 companies.
•Market leadership and first-mover advantage. Matterport defined the category of digitizing and datafying the built world almost a decade ago, and we have become the global leader in the category. As of December 31, 2022, we had over 701,000 subscribers on our platform and approximately 9.2 million spaces under management. Our leadership is primarily driven by the fact that we were the first mover in digital twin creation. As a result of our first mover advantage, we have amassed a deep and rich library of spatial data that continues to compound and enhance our leadership position.
•Significant network effect. With each new capture and piece of data added to our platform, the richness of our dataset and the depth of insights from our spaces under management grow. In addition, the combination of our ability to turn data into insights with incremental data from new data captures by our subscribers enables Matterport to develop features for subscribers to our platform. We were a first mover in building a spatial data library for the built world, and our leadership in gathering and deriving insights from data continues to compound and the relevance of those insights attracts more new subscribers.
•Massive spatial data library as the raw material for valuable property insights. The scale of our spatial data library is a significant advantage in deriving insights for our subscribers. Our spatial data library serves as vital ground truth for Cortex, enabling Matterport to create powerful 3D digital twins using a wide range of camera technology, including low-cost digital and smartphone cameras. As of December 31, 2022, our data came from approximately 9.2 million spaces under management and approximately 28 billion captured square feet. As a result, we have taken property insights and analytics to new levels, benefiting subscribers across various industries. For example, facilities managers significantly reduce the time needed to create building layouts, leading to a significant decrease in the cost of site surveying and as-built modeling. AEC subscribers use the analytics of each as-built space to streamline documentation and collaborate with ease.
•Global reach and scale. We are focused on continuing to expand our AI-powered spatial data platform worldwide. We have a significant presence in North America, Europe and Asia, with leadership teams and a go-to-market infrastructure in each of these regions. We have offices in London, Singapore and several across the United States, and we are accelerating our international expansion. As of December 31, 2022, we had over 701,000 subscribers in more than 170 countries. We believe that the geography-agnostic nature of our spatial data platform is a significant advantage as we continue to grow internationally.
•Broad patent portfolio supporting 10 years of R&amp;D and innovation. As of December 31, 2022, we had 54 issued and 37 pending patent applications. Our success is based on almost 10 years of focus on innovation. Innovation has been at the center of Matterport, and we will continue to prioritize our investments in R&amp;D to further our market leading position.
•Superior capture technology. Matterport’s capture technology platform is a software framework that enables support for a wide variety of capture devices required to create a Matterport digital twin of a building or space.
This includes support for LiDAR cameras, 360 cameras, smartphones, Matterport Axis and the Matterport Pro2 and Pro3 cameras. The Pro2 camera was foundational to our spatial data advantage, and we have expanded that advantage with an array of Matterport-enabled third-party capture devices. In August 2022, we launched and began shipment of our Pro3 Camera along with major updates to our industry-leading digital twin cloud platform. The Matterport Pro3 Camera is an advanced 3D capture device, which includes faster boot time, swappable batteries, and a lighter design. The Pro3 camera can perform both indoors and outdoors and is designed for speed, fidelity, versatility and accuracy. Along with our Pro2 Camera, we expect that future sales of our Pro3 Camera will continue to drive increased adoption of our solutions. Matterport is democratizing the 3D capture experience, making high-fidelity and high-accuracy 3D digital twins readily available for any building type and any subscriber need in the property life cycle. While there are other 3D capture solution providers, very few can produce true, dimensionally accurate 3D results, and fewer still can automatically create a final product in photorealistic 3D, and at global scale. This expansive capture technology offering would not be possible without our rich spatial data library available to train the AI-powered Cortex engine to automatically generate accurate digital twins from photos captured with a smartphone or 360 camera.
&lt;/document&gt;</t>
    </r>
  </si>
  <si>
    <r>
      <rPr>
        <rFont val="Arial"/>
        <color theme="1"/>
        <sz val="11.0"/>
      </rPr>
      <t xml:space="preserve">How do we fix this? Well, </t>
    </r>
    <r>
      <rPr>
        <rFont val="Arial"/>
        <b/>
        <color theme="1"/>
        <sz val="11.0"/>
      </rPr>
      <t>a great way to reduce hallucinations on long documents is to make Claude gather evidence first</t>
    </r>
    <r>
      <rPr>
        <rFont val="Arial"/>
        <color theme="1"/>
        <sz val="11.0"/>
      </rPr>
      <t xml:space="preserve">. 
In this case, we </t>
    </r>
    <r>
      <rPr>
        <rFont val="Arial"/>
        <color theme="1"/>
        <sz val="11.0"/>
        <u/>
      </rPr>
      <t>tell Claude to first extract relevant quotes, then base its answer on those quotes</t>
    </r>
    <r>
      <rPr>
        <rFont val="Arial"/>
        <color theme="1"/>
        <sz val="11.0"/>
      </rPr>
      <t>. Telling Claude to do so here makes it correctly notice that the quote does not answer the question.</t>
    </r>
  </si>
  <si>
    <r>
      <rPr>
        <rFont val="Arial"/>
        <color theme="1"/>
      </rPr>
      <t xml:space="preserve">User: &lt;question&gt;What was Matterport's subscriber base on the precise date of May 31, 2020?&lt;/question&gt;
Please read the below document. Then, in &lt;scratchpad&gt; tags, pull the most relevant quote from the document and consider whether it answers the user's question or whether it lacks sufficient detail. Then write a brief numerical answer in &lt;answer&gt; tags.
&lt;document&gt;
Matterport SEC filing 10-K 2023
Item 1. Business
Our Company
Matterport is leading the digitization and datafication of the built world. We believe the digital transformation of the built world will fundamentally change the way people interact with buildings and the physical spaces around them.
Since its founding in 2011, Matterport’s pioneering technology has set the standard for digitizing, accessing and managing buildings, spaces and places online. Our platform’s innovative software, spatial data-driven data science, and 3D capture technology have broken down the barriers that have kept the largest asset class in the world, buildings and physical spaces, offline and underutilized for many years. We believe the digitization and datafication of the built world will continue to unlock significant operational efficiencies and property values, and that Matterport is the platform to lead this enormous global transformation.
The world is rapidly moving from offline to online. Digital transformation has made a powerful and lasting impact across every business and industry today. According to International Data Corporation, or IDC, over $6.8 trillion of direct investments will be made on digital transformation from 2020 to 2023, the global digital transformation spending is forecasted to reach $3.4 trillion in 2026 with a five-year compound annual growth rate (“CAGR”) of 16.3%, and digital twin investments are expected to have a five-year CAGR of 35.2%. With this secular shift, there is also growing demand for the built world to transition from physical to digital. Nevertheless, the vast majority of buildings and spaces remain offline and undigitized. The global building stock, estimated by Savills to be $327 trillion in total property value as of 2021, remains largely offline today, and we estimate that less than 0.1% is penetrated by digital transformation.
Matterport was among the first to recognize the increasing need for digitization of the built world and the power of spatial data, the unique details underlying buildings and spaces, in facilitating the understanding of buildings and spaces. In the past, technology advanced physical road maps to the data-rich, digital maps and location services we all rely on today. Matterport now digitizes buildings, creating a data-rich environment to vastly increase our understanding and the full potential of each and every space we capture. Just as we can instantly, at the touch of a button, learn the fastest route from one city to another or locate the nearest coffee shops, Matterport’s spatial data for buildings unlocks a rich set of insights and learnings about properties and spaces worldwide. In addition, just as the geo-spatial mapping platforms of today have opened their mapping data to industry to create new business models such as ridesharing, e-commerce, food delivery marketplaces, and even short-term rental and home sharing, open access to Matterport’s structured spatial data is enabling new opportunities and business models for hospitality, facilities management, insurance, construction, real estate and retail, among others.
We believe the total addressable market opportunity for digitizing the built world is over $240 billion, and could be as high as $1 trillion as the market matures at scale. This is based on our analysis, modeling and understanding of the global building stock of over 4 billion properties and 20 billion spaces in the world today. With the help of artificial intelligence (“AI”), machine learning (“ML”) and deep learning (“DL”) technologies, we believe that, with the additional monetization opportunities from powerful spatial data-driven property insights and analytics, the total addressable market for the digitization and datafication of the built world will reach more than $1 trillion.
Our spatial data platform and capture of digital twins deliver value across a diverse set of industries and use cases. Large retailers can manage thousands of store locations remotely, real estate agencies can provide virtual open houses for hundreds of properties and thousands of visitors at the same time, property developers can monitor the entirety of the construction process with greater detail and speed, and insurance companies can more precisely document and evaluate claims and underwriting assessments with efficiency and precision. Matterport delivers the critical digital experience, tools and information that matter to our subscribers about properties of virtually any size, shape, and location worldwide.
For nearly a decade, we have been growing our spatial data platform and expanding our capabilities in order to create the most detailed, accurate, and data-rich digital twins available. Moreover, our 3D reconstruction process is fully automated, allowing our solution to scale with equal precision to millions of buildings and spaces of any type, shape, and size in the world. The universal applicability of our service provides Matterport significant scale and reach across diverse verticals and any geography. </t>
    </r>
    <r>
      <rPr>
        <rFont val="Arial"/>
        <b/>
        <color theme="1"/>
      </rPr>
      <t>As of December 31, 2022, our subscriber base had grown approximately 39% to over 701,000 subscribers from 503,000 subscribers as of December 31, 2021</t>
    </r>
    <r>
      <rPr>
        <rFont val="Arial"/>
        <color theme="1"/>
      </rPr>
      <t>, with our digital twins reaching more than 170 countries. We have digitized more than 28 billion square feet of space across multiple industries, representing significant scale and growth over the rest of the market.
As we continue to transform buildings into data worldwide, we are extending our spatial data platform to further transform property planning, development, management and intelligence for our subscribers across industries to become the de facto building and business intelligence engine for the built world. We believe the demand for spatial data and resulting insights for enterprises, businesses and institutions across industries, including real estate, architecture, engineering and construction (“AEC”), retail, insurance and government, will continue to grow rapidly.
We believe digitization and datafication represent a tremendous greenfield opportunity for growth across this massive category and asset class. From the early stages of design and development to marketing, operations, insurance and building repair and maintenance, our platform’s software and technology provide subscribers critical tools and insights to drive cost savings, increase revenues and optimally manage their buildings and spaces. We believe that hundreds of billions of dollars in unrealized utilization and operating efficiencies in the built world can be unlocked through the power of our spatial data platform. Our platform and data solutions have universal applicability across industries and building categories, giving Matterport a significant advantage as we can address the entirety of this large market opportunity and increase the value of what we believe to be the largest asset class in the world.
With a demonstrated track record of delivering value to our subscribers, our offerings include software subscription, data licensing, services and product hardware. As of December 31, 2022, our subscriber base included over 24% of Fortune 1000 companies, with less than 10% of our total revenue generated from our top 10 subscribers. We expect more than 80% of our revenue to come from our software subscription and data license solutions by 2025. Our innovative 3D capture products, the Pro2 and Pro3 Cameras, have played an integral part in shaping the 3D building and property visualization ecosystem. The Pro2 and Pro3 Cameras have driven adoption of our solutions and have generated the unique high-quality and scaled data set that has enabled Cortex, our proprietary AI software engine, to become the pioneering engine for digital twin creation. With this data advantage initially spurred by the Pro2 Camera, we have developed a capture device agnostic platform that scales and can generate new building and property insights for our subscribers across industries and geographies.
We have recently experienced rapid growth. Our subscribers have grown approximately 49-fold from December 31, 2018 to December 31, 2022. Our revenue increased by approximately 22% to $136.1 million for the year ended December 31, 2022, from approximately $111.2 million for the year ended December 31, 2021. Our gross profit decreased by $8.1 million or 14%, to $51.8 million for the year ended December 31, 2022, from $60.0 million for the year ended December 31, 2021, primarily attributable to certain disruptive and incremental costs due to the global supply chain constraints in fiscal year 2022. Our ability to retain and grow the subscription revenue generated by our existing subscribers is an important measure of the health of our business and our future growth prospects. We track our performance in this area by measuring our net dollar expansion rate from the same set of customers across comparable periods. Our net dollar expansion rate of 103% for the three months ended December 31, 2022 demonstrates the stickiness and growth potential of our platform.
Our Industry and Market Opportunity
Today, the vast majority of buildings and spaces remain undigitized. We estimate our current serviceable addressable market includes approximately 1.3 billion spaces worldwide, primarily from the real estate and travel and hospitality sectors. With approximately 9.2 million spaces under management as of December 31, 2022, we are continuing to penetrate the global building stock and expand our footprint across various end markets, including residential and commercial real estate, facilities management, retail, AEC, insurance and repair, and travel and hospitality. We estimate our total addressable market to be more than 4 billion buildings and 20 billion spaces globally, yielding a more than $240 billion market opportunity. We believe that as Matterport’s unique spatial data library and property data services continue to grow, this opportunity could increase to more than $1 trillion based on the size of the building stock and the untapped value creation available to buildings worldwide. The constraints created by the COVID-19 pandemic have only reinforced and accelerated the importance of our scaled 3D capture solution that we have developed for diverse industries and markets over the past decade.
Our Spatial Data Platform
Overview
Our technology platform uses spatial data collected from a wide variety of digital capture devices to transform physical buildings and spaces into dimensionally accurate, photorealistic digital twins that provide our subscribers access to previously unavailable building information and insights.
As a first mover in this massive market for nearly a decade, we have developed and scaled our industry-leading 3D reconstruction technology powered by Cortex, our proprietary AI-driven software engine that uses machine learning to recreate a photorealistic, 3D virtual representation of an entire building structure, including contents, equipment and furnishings. The finished product is a detailed and dynamic replication of the physical space that can be explored, analyzed and customized from a web browser on any device, including smartphones. The power to manage even large-scale commercial buildings is in the palm of each subscriber’s hands, made possible by our advanced technology and breakthrough innovations across our entire spatial data technology stack.
Key elements of our spatial data platform include:
•Bringing offline buildings online. Traditionally, our customers needed to conduct in-person site visits to understand and assess their buildings and spaces. While photographs and floor plans can be helpful, these forms of two-dimensional (“2D”) representation have limited information and tend to be static and rigid, and thus lack the interactive element critical to a holistic understanding of each building and space. With the AI-powered capabilities of Cortex, our proprietary AI software, representation of physical objects is no longer confined to static 2D images and physical visits can be eliminated. Cortex helps to move the buildings and spaces from offline to online and makes them accessible to our customers in real-time and on demand from anywhere. After subscribers scan their buildings, our visualization algorithms accurately infer spatial positions and depths from flat, 2D imagery captured through the scans and transform them into high- fidelity and precise digital twin models. This creates a fully automated image processing pipeline to ensure that each digital twin is of professional grade image quality.
•Driven by spatial data. We are a data-driven company. Each incremental capture of a space grows the richness and depth of our spatial data library. Spatial data represents the unique and idiosyncratic details that underlie and compose the buildings and spaces in the human- made environment. Cortex uses the breadth of the billions of data points we have accumulated over the years to improve the 3D accuracy of our digital twins. We help our subscribers pinpoint the height, location and other characteristics of objects in their digital twin. Our sophisticated algorithms also deliver significant commercial value to our subscribers by generating data-based insights that allow them to confidently make assessments and decisions about their properties. For instance, property developers can assess the amount of natural heat and daylight coming from specific windows, retailers can ensure each store layout is up to the same level of code and brand requirements, and factories can insure machinery layouts meet specifications and location guidelines. With approximately 9.2 million spaces under management as of December 31, 2022, our spatial data library is the clearinghouse for information about the built world.
•Powered by AI and ML. Artificial intelligence and machine learning technologies effectively utilize spatial data to create a robust virtual experience that is dynamic, realistic, interactive, informative and permits multiple viewing angles. AI and ML also make costly cameras unnecessary for everyday scans—subscribers can now scan their spaces by simply tapping a button on their smartphones. As a result, Matterport is a device agnostic platform, helping us more rapidly scale and drive towards our mission of digitizing and indexing the built world.
Our value proposition to subscribers is designed to serve the entirety of the digital building lifecycle, from design and build to maintenance and operations, promotion, sale, lease, insure, repair, restore, secure and finance. As a result, we believe we are uniquely positioned to grow our revenue with our subscribers as we help them to discover opportunities to drive short- and long-term return on investment by taking their buildings and spaces from offline to online across their portfolios of properties.
Ubiquitous Capture
Matterport has become the standard for 3D space capture. Our technology platform empowers subscribers worldwide to quickly, easily and accurately digitize, customize and manage interactive and dimensionally accurate digital twins of their buildings and spaces.
The Matterport platform is designed to work with a wide range of LiDAR, spherical, 3D and 360 cameras, as well as smartphones, to suit the capture needs of all of our subscribers. This provides the flexibility to capture a space of any size, scale, and complexity, at anytime and anywhere.
•Matterport Pro3 is our newest 3D camera that scans properties faster than earlier versions to help accelerate project completion. Pro3 provides the highest accuracy scans of both indoor and outdoor spaces and is designed for speed, fidelity, versatility and accuracy. Capturing 3D data up to 100 meters away at less than 20 seconds per sweep, Pro3’s ultra-fast, high-precision LiDAR sensor can run for hours and takes millions of measurements in any conditions.
•Matterport Pro2 is our proprietary 3D camera that has been used to capture millions of spaces around the world with a high degree of fidelity, precision, speed and simplicity. Capable of capturing buildings more than 500,000 square feet in size, it has become the camera of choice for many residential, commercial, industrial and large-scale properties.
•360 Cameras. Matterport supports a selection of 360 cameras available in the market. These affordable, pocket sized devices deliver precision captures with high fidelity and are appropriate for capturing smaller homes, condos, short-term rentals, apartments, and more. The spherical lens image capture technology of these devices gives Cortex robust, detailed image data to transform panoramas into our industry-leading digital twins.
•LEICA BLK360. Through our partnership with Leica, our 3D reconstruction technology and our AI powered software engine, Cortex, transform this powerful LiDAR camera into an ultra-precise capture device for creating Matterport digital twins. It is the solution of choice for AEC professionals when exacting precision is required.
•Smartphone Capture. Our capture apps are commercially available for both iOS and Android. Matterport’s smartphone capture solution has democratized 3D capture, making it easy and accessible for anyone to digitize buildings and spaces with a recent iPhone device since the initial introduction of Matterport for iPhone in May 2020. In April 2021, we announced the official release of the Android Capture app, giving Android users the ability to quickly and easily capture buildings and spaces in immersive 3D. In February 2022, we launched Matterport Axis, a motorized mount that holds a smartphone and can be used with the Matterport Capture app to capture 3D digital twins of any physical space with increased speed, precision, and consistency.
Cortex and 3D Reconstruction (the Matterport Digital Twin)
With a spatial data library, as of December 31, 2022, of approximately 9.2 million spaces under management, representing approximately 28 billion captured square feet of space, we use our advanced ML and DL technologies to algorithmically transform the spatial data we capture into an accurate 3D digital reproduction of any physical space. This intelligent, automated 3D reconstruction is made possible by Cortex, our AI-powered software engine that includes a deep learning neural network that uses our spatial data library to understand how a building or space is divided into floors and rooms, where the doorways and openings are located, and what types of rooms are present, such that those forms are compiled and aligned with dimensional accuracy into a dynamic, photorealistic digital twin. Other components of Cortex include AI-powered computer vision technologies to identify and classify the contents inside a building or space, and object recognition technologies to identify and segment everything from furnishings and equipment to doors, windows, light fixtures, fire suppression sprinklers and fire escapes. Our highly scalable artificial intelligence platform enables our subscribers to tap into powerful, enhanced building data and insights at the click of a button.
The Science Behind the Matterport Digital Twin: Cortex AI Highlights
Matterport Runs on Cortex
Cortex is our AI-powered software engine that includes a precision deep learning neural network to create digital twins of any building or space. Developed using our proprietary spatial data captured with our Pro2 and Pro3 cameras, Cortex delivers a high degree of precision and accuracy while enabling 3D capture using everyday devices.
Generic neural networks struggle with 3D reconstruction of the real world. Matterport-optimized networks deliver more accurate and robust results. More than just raw training data, Matterport’s datasets allow us to develop new neural network architectures and evaluate them against user behavior and real-world data in millions of situations.
•Deep learning: Connecting and optimizing the detailed neural network data architecture of each space is key to creating robust, highly accurate 3D digital twins. Cortex evaluates and optimizes each 3D model against Matterport’s rich spatial data aggregated from millions of buildings and spaces and the human annotations of those data provided by tens of thousands of subscribers worldwide. Cortex’s evaluative abilities and its data-driven optimization of 3D reconstruction yield consistent, high-precision results across a wide array of building configurations, spaces and environments.
•Dynamic 3D reconstruction: Creating precise 3D spatial data at scale from 2D visuals and static images requires a combination of photorealistic, detailed data from multiple viewpoints and millions of spaces that train and optimize Cortex’s neural network and learning capabilities for improved 3D reconstruction of any space. Cortex’s capabilities combined with real-time spatial alignment algorithms in our 3D capture technology create an intuitive “preview” of any work in progress, allowing subscribers to work with their content interactively and in real-time.
•Computer vision: Cortex enables a suite of powerful features to enhance the value of digital twins. These include automatic measurements for rooms or objects in a room, automatic 2D-from-3D high-definition photo gallery creation, auto face blurring for privacy protection, custom videos, walkthroughs, auto room labeling and object recognition.
•Advanced image processing: Matterport’s computational photography algorithms create a fully automated image processing pipeline to help ensure that each digital twin is of professional grade image quality. Our patented technology makes 3D capture as simple as pressing a single button. Matterport’s software and technology manage the remaining steps, including white balance and camera-specific color correction, high dynamic range tone mapping, de-noising, haze removal, sharpening, saturation and other adjustments to improve image quality.
Spatial Data and AI-Powered Insights
Every Matterport digital twin contains extensive information about a building, room or physical space. The data uses our AI-powered Cortex engine. In addition to the Matterport digital twin itself, our spatial data consists of precision building geometry and structural detail, building contents, fixtures and condition, along with high-definition imagery and photorealistic detail from many vantage points in a space. Cortex employs a technique we call deep spatial indexing. Deep spatial indexing uses artificial intelligence, computer vision and deep learning to identify and convey important details about each space, its structure and its contents with precision and fidelity. We have created a robust spatial data standard that enables Matterport subscribers to harness an interoperable digital system of record for any building.
In addition to creating a highly interactive digital experience for subscribers through the construction of digital twins, we ask ourselves two questions for every subscriber: (1) what is important about their building or physical space and (2) what learnings and insights can we deliver for this space? Our AI-powered Cortex engine helps us answer these questions using our spatial data library to provide aggregated property trends and operational and valuation insights. Moreover, as the Matterport platform ecosystem continues to expand, our subscribers, partners and other third-party developers can bring their own tools to further the breadth and depth of insights they can harvest from our rich spatial data layer.
Extensible Platform Ecosystem
Matterport offers the largest and most accurate library of spatial data in the world, with, as of December 31, 2022, approximately 9.2 million spaces under management and approximately 28 billion captured square feet. The versatility of our spatial data platform and extensive enterprise software development kit and application programming interfaces (“APIs”) has allowed us to develop a robust global ecosystem of channels and partners that extend the Matterport value proposition by geography and vertical market. We intend to continue to deploy a broad set of workflow integrations with our partners and their subscribers to promote an integrated Matterport solution across our target markets. We are also developing a third-party software marketplace to extend the power of our spatial data platform with easy-to-deploy and easy-to-access Matterport software add-ons. The marketplace enables developers to build new applications and spatial data mining tools, enhance the Matterport 3D experience, and create new productivity and property management tools that supplement our core offerings. These value-added capabilities created by third-party developers enable a scalable new revenue stream, with Matterport sharing the subscription and services revenue from each add-on that is deployed to subscribers through the online marketplace. The network effects of our platform ecosystem contributes to the growth of our business, and we believe that it will continue to bolster future growth by enhancing subscriber stickiness and user engagement.
Examples of Matterport add-ons and extensions include:
•Add-ons: Encircle (easy-to-use field documentation tools for faster claims processing); WP Matterport Shortcode (free Wordpress plugin that allows Matterport to be embedded quickly and easily with a Matterport shortcode), WP3D Models (WordPress + Matterport integration plugin); Rela (all-in-one marketing solution for listings); CAPTUR3D (all-in-one Content Management System that extends value to Matterport digital twins); Private Model Emded (feature that allows enterprises to privately share digital twins with a large group of employees on the corporate network without requiring additional user licenses); Views (new workgroup collaboration framework to enable groups and large organizations to create separate, permissions-based workflows to manage different tasks with different teams); and Guided Tours and Tags (tool to elevate the visitor experience by creating directed virtual tours of any commercial or residential space tailored to the interests of their visitors). We unveiled our private beta integration with Amazon Web Services (AWS) IoT TwinMaker to enable enterprise customers to seamlessly connect IoT data into visually immersive and dimensionally accurate Matterport digital twin.
•Services: Matterport ADA Compliant Digital Twin (solution to provide American Disability Act compliant digital twins) and Enterprise Cloud Software Platform (reimagined cloud software platform for the enterprise that creates, publishes, and manages digital twins of buildings and spaces of any size of shape, indoors or outdoors).
Our Competitive Strengths
We believe that we have a number of competitive strengths that will enable our market leadership to grow. Our competitive strengths include:
•Breadth and depth of the Matterport platform. Our core strength is our all-in-one spatial data platform with broad reach across diverse verticals and geographies such as capture to processing to industries without customization. With the ability to integrate seamlessly with various enterprise systems, our platform delivers value across the property lifecycle for diverse end markets, including real estate, AEC, travel and hospitality, repair and insurance, and industrial and facilities. As of December 31, 2022, our global reach extended to subscribers in more than 170 countries, including over 24% of Fortune 1000 companies.
•Market leadership and first-mover advantage. Matterport defined the category of digitizing and datafying the built world almost a decade ago, and we have become the global leader in the category. As of December 31, 2022, we had over 701,000 subscribers on our platform and approximately 9.2 million spaces under management. Our leadership is primarily driven by the fact that we were the first mover in digital twin creation. As a result of our first mover advantage, we have amassed a deep and rich library of spatial data that continues to compound and enhance our leadership position.
•Significant network effect. With each new capture and piece of data added to our platform, the richness of our dataset and the depth of insights from our spaces under management grow. In addition, the combination of our ability to turn data into insights with incremental data from new data captures by our subscribers enables Matterport to develop features for subscribers to our platform. We were a first mover in building a spatial data library for the built world, and our leadership in gathering and deriving insights from data continues to compound and the relevance of those insights attracts more new subscribers.
•Massive spatial data library as the raw material for valuable property insights. The scale of our spatial data library is a significant advantage in deriving insights for our subscribers. Our spatial data library serves as vital ground truth for Cortex, enabling Matterport to create powerful 3D digital twins using a wide range of camera technology, including low-cost digital and smartphone cameras. As of December 31, 2022, our data came from approximately 9.2 million spaces under management and approximately 28 billion captured square feet. As a result, we have taken property insights and analytics to new levels, benefiting subscribers across various industries. For example, facilities managers significantly reduce the time needed to create building layouts, leading to a significant decrease in the cost of site surveying and as-built modeling. AEC subscribers use the analytics of each as-built space to streamline documentation and collaborate with ease.
•Global reach and scale. We are focused on continuing to expand our AI-powered spatial data platform worldwide. We have a significant presence in North America, Europe and Asia, with leadership teams and a go-to-market infrastructure in each of these regions. We have offices in London, Singapore and several across the United States, and we are accelerating our international expansion. As of December 31, 2022, we had over 701,000 subscribers in more than 170 countries. We believe that the geography-agnostic nature of our spatial data platform is a significant advantage as we continue to grow internationally.
•Broad patent portfolio supporting 10 years of R&amp;D and innovation. As of December 31, 2022, we had 54 issued and 37 pending patent applications. Our success is based on almost 10 years of focus on innovation. Innovation has been at the center of Matterport, and we will continue to prioritize our investments in R&amp;D to further our market leading position.
•Superior capture technology. Matterport’s capture technology platform is a software framework that enables support for a wide variety of capture devices required to create a Matterport digital twin of a building or space.
This includes support for LiDAR cameras, 360 cameras, smartphones, Matterport Axis and the Matterport Pro2 and Pro3 cameras. The Pro2 camera was foundational to our spatial data advantage, and we have expanded that advantage with an array of Matterport-enabled third-party capture devices. In August 2022, we launched and began shipment of our Pro3 Camera along with major updates to our industry-leading digital twin cloud platform. The Matterport Pro3 Camera is an advanced 3D capture device, which includes faster boot time, swappable batteries, and a lighter design. The Pro3 camera can perform both indoors and outdoors and is designed for speed, fidelity, versatility and accuracy. Along with our Pro2 Camera, we expect that future sales of our Pro3 Camera will continue to drive increased adoption of our solutions. Matterport is democratizing the 3D capture experience, making high-fidelity and high-accuracy 3D digital twins readily available for any building type and any subscriber need in the property life cycle. While there are other 3D capture solution providers, very few can produce true, dimensionally accurate 3D results, and fewer still can automatically create a final product in photorealistic 3D, and at global scale. This expansive capture technology offering would not be possible without our rich spatial data library available to train the AI-powered Cortex engine to automatically generate accurate digital twins from photos captured with a smartphone or 360 camera.
&lt;/document&gt;</t>
    </r>
  </si>
  <si>
    <r>
      <rPr>
        <b/>
        <sz val="11.0"/>
      </rPr>
      <t>Bonus lesson:</t>
    </r>
    <r>
      <rPr>
        <sz val="11.0"/>
      </rPr>
      <t xml:space="preserve"> Sometimes, </t>
    </r>
    <r>
      <rPr>
        <b/>
        <sz val="11.0"/>
      </rPr>
      <t>Claude's hallucinations can be solved by lowering the "temperature" of Claude's responses</t>
    </r>
    <r>
      <rPr>
        <sz val="11.0"/>
      </rPr>
      <t xml:space="preserve">. </t>
    </r>
    <r>
      <rPr>
        <sz val="11.0"/>
        <u/>
      </rPr>
      <t>Temperature is a measurement of answer creativity between 0 and 1</t>
    </r>
    <r>
      <rPr>
        <sz val="11.0"/>
      </rPr>
      <t xml:space="preserve">, with 1 being more unpredictable and less standardized, and 0 being the most consistent. 
Asking Claude something at temperature 0 will generally yield an almost-deterministic answer set across repeated trials (although complete determinism is not guaranteed). Asking Claude something at temperature 1 (or gradations in between) will yield more variable answers. Learn more about temperature and other parameters </t>
    </r>
    <r>
      <rPr>
        <color rgb="FF1155CC"/>
        <sz val="11.0"/>
        <u/>
      </rPr>
      <t>here</t>
    </r>
    <r>
      <rPr>
        <sz val="11.0"/>
      </rPr>
      <t>.</t>
    </r>
  </si>
  <si>
    <r>
      <rPr>
        <rFont val="Arial"/>
        <color theme="1"/>
        <sz val="11.0"/>
      </rPr>
      <t xml:space="preserve">If you're ready to </t>
    </r>
    <r>
      <rPr>
        <rFont val="Arial"/>
        <color theme="1"/>
        <sz val="11.0"/>
        <u/>
      </rPr>
      <t>try the chapter exercises, click the link below</t>
    </r>
    <r>
      <rPr>
        <rFont val="Arial"/>
        <color theme="1"/>
        <sz val="11.0"/>
      </rPr>
      <t>. If you want to play around with any of the examples in this lesson, scroll down!</t>
    </r>
  </si>
  <si>
    <t>Chapter 8 Exercises: Avoiding Hallucinations →</t>
  </si>
  <si>
    <r>
      <rPr>
        <rFont val="Arial"/>
        <color theme="1"/>
        <sz val="11.0"/>
      </rPr>
      <t xml:space="preserve">This is an area for you to </t>
    </r>
    <r>
      <rPr>
        <rFont val="Arial"/>
        <color theme="1"/>
        <sz val="11.0"/>
        <u/>
      </rPr>
      <t>experiment freely with the prompt examples shown in this lesson</t>
    </r>
    <r>
      <rPr>
        <rFont val="Arial"/>
        <color theme="1"/>
        <sz val="11.0"/>
      </rPr>
      <t xml:space="preserve">. Feel free to tweak prompts to see how it may affect Claude's responses.
</t>
    </r>
    <r>
      <rPr>
        <rFont val="Arial"/>
        <b/>
        <color theme="1"/>
        <sz val="11.0"/>
      </rPr>
      <t>Note:</t>
    </r>
    <r>
      <rPr>
        <rFont val="Arial"/>
        <color theme="1"/>
        <sz val="11.0"/>
      </rPr>
      <t xml:space="preserve"> The colors in the cells, which have been carried over from above, will not change even if the prompt or Claude's response changes.</t>
    </r>
  </si>
  <si>
    <r>
      <rPr>
        <rFont val="Arial"/>
        <color theme="1"/>
      </rPr>
      <t xml:space="preserve">User: &lt;question&gt;What was Matterport's subscriber base on the precise date of May 31, 2020?&lt;/question&gt;
Please read the below document. Then write a brief numerical answer inside &lt;answer&gt; tags.
&lt;document&gt;
Matterport SEC filing 10-K 2023
Item 1. Business
Our Company
Matterport is leading the digitization and datafication of the built world. We believe the digital transformation of the built world will fundamentally change the way people interact with buildings and the physical spaces around them.
Since its founding in 2011, Matterport’s pioneering technology has set the standard for digitizing, accessing and managing buildings, spaces and places online. Our platform’s innovative software, spatial data-driven data science, and 3D capture technology have broken down the barriers that have kept the largest asset class in the world, buildings and physical spaces, offline and underutilized for many years. We believe the digitization and datafication of the built world will continue to unlock significant operational efficiencies and property values, and that Matterport is the platform to lead this enormous global transformation.
The world is rapidly moving from offline to online. Digital transformation has made a powerful and lasting impact across every business and industry today. According to International Data Corporation, or IDC, over $6.8 trillion of direct investments will be made on digital transformation from 2020 to 2023, the global digital transformation spending is forecasted to reach $3.4 trillion in 2026 with a five-year compound annual growth rate (“CAGR”) of 16.3%, and digital twin investments are expected to have a five-year CAGR of 35.2%. With this secular shift, there is also growing demand for the built world to transition from physical to digital. Nevertheless, the vast majority of buildings and spaces remain offline and undigitized. The global building stock, estimated by Savills to be $327 trillion in total property value as of 2021, remains largely offline today, and we estimate that less than 0.1% is penetrated by digital transformation.
Matterport was among the first to recognize the increasing need for digitization of the built world and the power of spatial data, the unique details underlying buildings and spaces, in facilitating the understanding of buildings and spaces. In the past, technology advanced physical road maps to the data-rich, digital maps and location services we all rely on today. Matterport now digitizes buildings, creating a data-rich environment to vastly increase our understanding and the full potential of each and every space we capture. Just as we can instantly, at the touch of a button, learn the fastest route from one city to another or locate the nearest coffee shops, Matterport’s spatial data for buildings unlocks a rich set of insights and learnings about properties and spaces worldwide. In addition, just as the geo-spatial mapping platforms of today have opened their mapping data to industry to create new business models such as ridesharing, e-commerce, food delivery marketplaces, and even short-term rental and home sharing, open access to Matterport’s structured spatial data is enabling new opportunities and business models for hospitality, facilities management, insurance, construction, real estate and retail, among others.
We believe the total addressable market opportunity for digitizing the built world is over $240 billion, and could be as high as $1 trillion as the market matures at scale. This is based on our analysis, modeling and understanding of the global building stock of over 4 billion properties and 20 billion spaces in the world today. With the help of artificial intelligence (“AI”), machine learning (“ML”) and deep learning (“DL”) technologies, we believe that, with the additional monetization opportunities from powerful spatial data-driven property insights and analytics, the total addressable market for the digitization and datafication of the built world will reach more than $1 trillion.
Our spatial data platform and capture of digital twins deliver value across a diverse set of industries and use cases. Large retailers can manage thousands of store locations remotely, real estate agencies can provide virtual open houses for hundreds of properties and thousands of visitors at the same time, property developers can monitor the entirety of the construction process with greater detail and speed, and insurance companies can more precisely document and evaluate claims and underwriting assessments with efficiency and precision. Matterport delivers the critical digital experience, tools and information that matter to our subscribers about properties of virtually any size, shape, and location worldwide.
For nearly a decade, we have been growing our spatial data platform and expanding our capabilities in order to create the most detailed, accurate, and data-rich digital twins available. Moreover, our 3D reconstruction process is fully automated, allowing our solution to scale with equal precision to millions of buildings and spaces of any type, shape, and size in the world. The universal applicability of our service provides Matterport significant scale and reach across diverse verticals and any geography. </t>
    </r>
    <r>
      <rPr>
        <rFont val="Arial"/>
        <b/>
        <color theme="1"/>
      </rPr>
      <t>As of December 31, 2022, our subscriber base had grown approximately 39% to over 701,000 subscribers from 503,000 subscribers as of December 31, 2021</t>
    </r>
    <r>
      <rPr>
        <rFont val="Arial"/>
        <color theme="1"/>
      </rPr>
      <t>, with our digital twins reaching more than 170 countries. We have digitized more than 28 billion square feet of space across multiple industries, representing significant scale and growth over the rest of the market.
As we continue to transform buildings into data worldwide, we are extending our spatial data platform to further transform property planning, development, management and intelligence for our subscribers across industries to become the de facto building and business intelligence engine for the built world. We believe the demand for spatial data and resulting insights for enterprises, businesses and institutions across industries, including real estate, architecture, engineering and construction (“AEC”), retail, insurance and government, will continue to grow rapidly.
We believe digitization and datafication represent a tremendous greenfield opportunity for growth across this massive category and asset class. From the early stages of design and development to marketing, operations, insurance and building repair and maintenance, our platform’s software and technology provide subscribers critical tools and insights to drive cost savings, increase revenues and optimally manage their buildings and spaces. We believe that hundreds of billions of dollars in unrealized utilization and operating efficiencies in the built world can be unlocked through the power of our spatial data platform. Our platform and data solutions have universal applicability across industries and building categories, giving Matterport a significant advantage as we can address the entirety of this large market opportunity and increase the value of what we believe to be the largest asset class in the world.
With a demonstrated track record of delivering value to our subscribers, our offerings include software subscription, data licensing, services and product hardware. As of December 31, 2022, our subscriber base included over 24% of Fortune 1000 companies, with less than 10% of our total revenue generated from our top 10 subscribers. We expect more than 80% of our revenue to come from our software subscription and data license solutions by 2025. Our innovative 3D capture products, the Pro2 and Pro3 Cameras, have played an integral part in shaping the 3D building and property visualization ecosystem. The Pro2 and Pro3 Cameras have driven adoption of our solutions and have generated the unique high-quality and scaled data set that has enabled Cortex, our proprietary AI software engine, to become the pioneering engine for digital twin creation. With this data advantage initially spurred by the Pro2 Camera, we have developed a capture device agnostic platform that scales and can generate new building and property insights for our subscribers across industries and geographies.
We have recently experienced rapid growth. Our subscribers have grown approximately 49-fold from December 31, 2018 to December 31, 2022. Our revenue increased by approximately 22% to $136.1 million for the year ended December 31, 2022, from approximately $111.2 million for the year ended December 31, 2021. Our gross profit decreased by $8.1 million or 14%, to $51.8 million for the year ended December 31, 2022, from $60.0 million for the year ended December 31, 2021, primarily attributable to certain disruptive and incremental costs due to the global supply chain constraints in fiscal year 2022. Our ability to retain and grow the subscription revenue generated by our existing subscribers is an important measure of the health of our business and our future growth prospects. We track our performance in this area by measuring our net dollar expansion rate from the same set of customers across comparable periods. Our net dollar expansion rate of 103% for the three months ended December 31, 2022 demonstrates the stickiness and growth potential of our platform.
Our Industry and Market Opportunity
Today, the vast majority of buildings and spaces remain undigitized. We estimate our current serviceable addressable market includes approximately 1.3 billion spaces worldwide, primarily from the real estate and travel and hospitality sectors. With approximately 9.2 million spaces under management as of December 31, 2022, we are continuing to penetrate the global building stock and expand our footprint across various end markets, including residential and commercial real estate, facilities management, retail, AEC, insurance and repair, and travel and hospitality. We estimate our total addressable market to be more than 4 billion buildings and 20 billion spaces globally, yielding a more than $240 billion market opportunity. We believe that as Matterport’s unique spatial data library and property data services continue to grow, this opportunity could increase to more than $1 trillion based on the size of the building stock and the untapped value creation available to buildings worldwide. The constraints created by the COVID-19 pandemic have only reinforced and accelerated the importance of our scaled 3D capture solution that we have developed for diverse industries and markets over the past decade.
Our Spatial Data Platform
Overview
Our technology platform uses spatial data collected from a wide variety of digital capture devices to transform physical buildings and spaces into dimensionally accurate, photorealistic digital twins that provide our subscribers access to previously unavailable building information and insights.
As a first mover in this massive market for nearly a decade, we have developed and scaled our industry-leading 3D reconstruction technology powered by Cortex, our proprietary AI-driven software engine that uses machine learning to recreate a photorealistic, 3D virtual representation of an entire building structure, including contents, equipment and furnishings. The finished product is a detailed and dynamic replication of the physical space that can be explored, analyzed and customized from a web browser on any device, including smartphones. The power to manage even large-scale commercial buildings is in the palm of each subscriber’s hands, made possible by our advanced technology and breakthrough innovations across our entire spatial data technology stack.
Key elements of our spatial data platform include:
•Bringing offline buildings online. Traditionally, our customers needed to conduct in-person site visits to understand and assess their buildings and spaces. While photographs and floor plans can be helpful, these forms of two-dimensional (“2D”) representation have limited information and tend to be static and rigid, and thus lack the interactive element critical to a holistic understanding of each building and space. With the AI-powered capabilities of Cortex, our proprietary AI software, representation of physical objects is no longer confined to static 2D images and physical visits can be eliminated. Cortex helps to move the buildings and spaces from offline to online and makes them accessible to our customers in real-time and on demand from anywhere. After subscribers scan their buildings, our visualization algorithms accurately infer spatial positions and depths from flat, 2D imagery captured through the scans and transform them into high- fidelity and precise digital twin models. This creates a fully automated image processing pipeline to ensure that each digital twin is of professional grade image quality.
•Driven by spatial data. We are a data-driven company. Each incremental capture of a space grows the richness and depth of our spatial data library. Spatial data represents the unique and idiosyncratic details that underlie and compose the buildings and spaces in the human- made environment. Cortex uses the breadth of the billions of data points we have accumulated over the years to improve the 3D accuracy of our digital twins. We help our subscribers pinpoint the height, location and other characteristics of objects in their digital twin. Our sophisticated algorithms also deliver significant commercial value to our subscribers by generating data-based insights that allow them to confidently make assessments and decisions about their properties. For instance, property developers can assess the amount of natural heat and daylight coming from specific windows, retailers can ensure each store layout is up to the same level of code and brand requirements, and factories can insure machinery layouts meet specifications and location guidelines. With approximately 9.2 million spaces under management as of December 31, 2022, our spatial data library is the clearinghouse for information about the built world.
•Powered by AI and ML. Artificial intelligence and machine learning technologies effectively utilize spatial data to create a robust virtual experience that is dynamic, realistic, interactive, informative and permits multiple viewing angles. AI and ML also make costly cameras unnecessary for everyday scans—subscribers can now scan their spaces by simply tapping a button on their smartphones. As a result, Matterport is a device agnostic platform, helping us more rapidly scale and drive towards our mission of digitizing and indexing the built world.
Our value proposition to subscribers is designed to serve the entirety of the digital building lifecycle, from design and build to maintenance and operations, promotion, sale, lease, insure, repair, restore, secure and finance. As a result, we believe we are uniquely positioned to grow our revenue with our subscribers as we help them to discover opportunities to drive short- and long-term return on investment by taking their buildings and spaces from offline to online across their portfolios of properties.
Ubiquitous Capture
Matterport has become the standard for 3D space capture. Our technology platform empowers subscribers worldwide to quickly, easily and accurately digitize, customize and manage interactive and dimensionally accurate digital twins of their buildings and spaces.
The Matterport platform is designed to work with a wide range of LiDAR, spherical, 3D and 360 cameras, as well as smartphones, to suit the capture needs of all of our subscribers. This provides the flexibility to capture a space of any size, scale, and complexity, at anytime and anywhere.
•Matterport Pro3 is our newest 3D camera that scans properties faster than earlier versions to help accelerate project completion. Pro3 provides the highest accuracy scans of both indoor and outdoor spaces and is designed for speed, fidelity, versatility and accuracy. Capturing 3D data up to 100 meters away at less than 20 seconds per sweep, Pro3’s ultra-fast, high-precision LiDAR sensor can run for hours and takes millions of measurements in any conditions.
•Matterport Pro2 is our proprietary 3D camera that has been used to capture millions of spaces around the world with a high degree of fidelity, precision, speed and simplicity. Capable of capturing buildings more than 500,000 square feet in size, it has become the camera of choice for many residential, commercial, industrial and large-scale properties.
•360 Cameras. Matterport supports a selection of 360 cameras available in the market. These affordable, pocket sized devices deliver precision captures with high fidelity and are appropriate for capturing smaller homes, condos, short-term rentals, apartments, and more. The spherical lens image capture technology of these devices gives Cortex robust, detailed image data to transform panoramas into our industry-leading digital twins.
•LEICA BLK360. Through our partnership with Leica, our 3D reconstruction technology and our AI powered software engine, Cortex, transform this powerful LiDAR camera into an ultra-precise capture device for creating Matterport digital twins. It is the solution of choice for AEC professionals when exacting precision is required.
•Smartphone Capture. Our capture apps are commercially available for both iOS and Android. Matterport’s smartphone capture solution has democratized 3D capture, making it easy and accessible for anyone to digitize buildings and spaces with a recent iPhone device since the initial introduction of Matterport for iPhone in May 2020. In April 2021, we announced the official release of the Android Capture app, giving Android users the ability to quickly and easily capture buildings and spaces in immersive 3D. In February 2022, we launched Matterport Axis, a motorized mount that holds a smartphone and can be used with the Matterport Capture app to capture 3D digital twins of any physical space with increased speed, precision, and consistency.
Cortex and 3D Reconstruction (the Matterport Digital Twin)
With a spatial data library, as of December 31, 2022, of approximately 9.2 million spaces under management, representing approximately 28 billion captured square feet of space, we use our advanced ML and DL technologies to algorithmically transform the spatial data we capture into an accurate 3D digital reproduction of any physical space. This intelligent, automated 3D reconstruction is made possible by Cortex, our AI-powered software engine that includes a deep learning neural network that uses our spatial data library to understand how a building or space is divided into floors and rooms, where the doorways and openings are located, and what types of rooms are present, such that those forms are compiled and aligned with dimensional accuracy into a dynamic, photorealistic digital twin. Other components of Cortex include AI-powered computer vision technologies to identify and classify the contents inside a building or space, and object recognition technologies to identify and segment everything from furnishings and equipment to doors, windows, light fixtures, fire suppression sprinklers and fire escapes. Our highly scalable artificial intelligence platform enables our subscribers to tap into powerful, enhanced building data and insights at the click of a button.
The Science Behind the Matterport Digital Twin: Cortex AI Highlights
Matterport Runs on Cortex
Cortex is our AI-powered software engine that includes a precision deep learning neural network to create digital twins of any building or space. Developed using our proprietary spatial data captured with our Pro2 and Pro3 cameras, Cortex delivers a high degree of precision and accuracy while enabling 3D capture using everyday devices.
Generic neural networks struggle with 3D reconstruction of the real world. Matterport-optimized networks deliver more accurate and robust results. More than just raw training data, Matterport’s datasets allow us to develop new neural network architectures and evaluate them against user behavior and real-world data in millions of situations.
•Deep learning: Connecting and optimizing the detailed neural network data architecture of each space is key to creating robust, highly accurate 3D digital twins. Cortex evaluates and optimizes each 3D model against Matterport’s rich spatial data aggregated from millions of buildings and spaces and the human annotations of those data provided by tens of thousands of subscribers worldwide. Cortex’s evaluative abilities and its data-driven optimization of 3D reconstruction yield consistent, high-precision results across a wide array of building configurations, spaces and environments.
•Dynamic 3D reconstruction: Creating precise 3D spatial data at scale from 2D visuals and static images requires a combination of photorealistic, detailed data from multiple viewpoints and millions of spaces that train and optimize Cortex’s neural network and learning capabilities for improved 3D reconstruction of any space. Cortex’s capabilities combined with real-time spatial alignment algorithms in our 3D capture technology create an intuitive “preview” of any work in progress, allowing subscribers to work with their content interactively and in real-time.
•Computer vision: Cortex enables a suite of powerful features to enhance the value of digital twins. These include automatic measurements for rooms or objects in a room, automatic 2D-from-3D high-definition photo gallery creation, auto face blurring for privacy protection, custom videos, walkthroughs, auto room labeling and object recognition.
•Advanced image processing: Matterport’s computational photography algorithms create a fully automated image processing pipeline to help ensure that each digital twin is of professional grade image quality. Our patented technology makes 3D capture as simple as pressing a single button. Matterport’s software and technology manage the remaining steps, including white balance and camera-specific color correction, high dynamic range tone mapping, de-noising, haze removal, sharpening, saturation and other adjustments to improve image quality.
Spatial Data and AI-Powered Insights
Every Matterport digital twin contains extensive information about a building, room or physical space. The data uses our AI-powered Cortex engine. In addition to the Matterport digital twin itself, our spatial data consists of precision building geometry and structural detail, building contents, fixtures and condition, along with high-definition imagery and photorealistic detail from many vantage points in a space. Cortex employs a technique we call deep spatial indexing. Deep spatial indexing uses artificial intelligence, computer vision and deep learning to identify and convey important details about each space, its structure and its contents with precision and fidelity. We have created a robust spatial data standard that enables Matterport subscribers to harness an interoperable digital system of record for any building.
In addition to creating a highly interactive digital experience for subscribers through the construction of digital twins, we ask ourselves two questions for every subscriber: (1) what is important about their building or physical space and (2) what learnings and insights can we deliver for this space? Our AI-powered Cortex engine helps us answer these questions using our spatial data library to provide aggregated property trends and operational and valuation insights. Moreover, as the Matterport platform ecosystem continues to expand, our subscribers, partners and other third-party developers can bring their own tools to further the breadth and depth of insights they can harvest from our rich spatial data layer.
Extensible Platform Ecosystem
Matterport offers the largest and most accurate library of spatial data in the world, with, as of December 31, 2022, approximately 9.2 million spaces under management and approximately 28 billion captured square feet. The versatility of our spatial data platform and extensive enterprise software development kit and application programming interfaces (“APIs”) has allowed us to develop a robust global ecosystem of channels and partners that extend the Matterport value proposition by geography and vertical market. We intend to continue to deploy a broad set of workflow integrations with our partners and their subscribers to promote an integrated Matterport solution across our target markets. We are also developing a third-party software marketplace to extend the power of our spatial data platform with easy-to-deploy and easy-to-access Matterport software add-ons. The marketplace enables developers to build new applications and spatial data mining tools, enhance the Matterport 3D experience, and create new productivity and property management tools that supplement our core offerings. These value-added capabilities created by third-party developers enable a scalable new revenue stream, with Matterport sharing the subscription and services revenue from each add-on that is deployed to subscribers through the online marketplace. The network effects of our platform ecosystem contributes to the growth of our business, and we believe that it will continue to bolster future growth by enhancing subscriber stickiness and user engagement.
Examples of Matterport add-ons and extensions include:
•Add-ons: Encircle (easy-to-use field documentation tools for faster claims processing); WP Matterport Shortcode (free Wordpress plugin that allows Matterport to be embedded quickly and easily with a Matterport shortcode), WP3D Models (WordPress + Matterport integration plugin); Rela (all-in-one marketing solution for listings); CAPTUR3D (all-in-one Content Management System that extends value to Matterport digital twins); Private Model Emded (feature that allows enterprises to privately share digital twins with a large group of employees on the corporate network without requiring additional user licenses); Views (new workgroup collaboration framework to enable groups and large organizations to create separate, permissions-based workflows to manage different tasks with different teams); and Guided Tours and Tags (tool to elevate the visitor experience by creating directed virtual tours of any commercial or residential space tailored to the interests of their visitors). We unveiled our private beta integration with Amazon Web Services (AWS) IoT TwinMaker to enable enterprise customers to seamlessly connect IoT data into visually immersive and dimensionally accurate Matterport digital twin.
•Services: Matterport ADA Compliant Digital Twin (solution to provide American Disability Act compliant digital twins) and Enterprise Cloud Software Platform (reimagined cloud software platform for the enterprise that creates, publishes, and manages digital twins of buildings and spaces of any size of shape, indoors or outdoors).
Our Competitive Strengths
We believe that we have a number of competitive strengths that will enable our market leadership to grow. Our competitive strengths include:
•Breadth and depth of the Matterport platform. Our core strength is our all-in-one spatial data platform with broad reach across diverse verticals and geographies such as capture to processing to industries without customization. With the ability to integrate seamlessly with various enterprise systems, our platform delivers value across the property lifecycle for diverse end markets, including real estate, AEC, travel and hospitality, repair and insurance, and industrial and facilities. As of December 31, 2022, our global reach extended to subscribers in more than 170 countries, including over 24% of Fortune 1000 companies.
•Market leadership and first-mover advantage. Matterport defined the category of digitizing and datafying the built world almost a decade ago, and we have become the global leader in the category. As of December 31, 2022, we had over 701,000 subscribers on our platform and approximately 9.2 million spaces under management. Our leadership is primarily driven by the fact that we were the first mover in digital twin creation. As a result of our first mover advantage, we have amassed a deep and rich library of spatial data that continues to compound and enhance our leadership position.
•Significant network effect. With each new capture and piece of data added to our platform, the richness of our dataset and the depth of insights from our spaces under management grow. In addition, the combination of our ability to turn data into insights with incremental data from new data captures by our subscribers enables Matterport to develop features for subscribers to our platform. We were a first mover in building a spatial data library for the built world, and our leadership in gathering and deriving insights from data continues to compound and the relevance of those insights attracts more new subscribers.
•Massive spatial data library as the raw material for valuable property insights. The scale of our spatial data library is a significant advantage in deriving insights for our subscribers. Our spatial data library serves as vital ground truth for Cortex, enabling Matterport to create powerful 3D digital twins using a wide range of camera technology, including low-cost digital and smartphone cameras. As of December 31, 2022, our data came from approximately 9.2 million spaces under management and approximately 28 billion captured square feet. As a result, we have taken property insights and analytics to new levels, benefiting subscribers across various industries. For example, facilities managers significantly reduce the time needed to create building layouts, leading to a significant decrease in the cost of site surveying and as-built modeling. AEC subscribers use the analytics of each as-built space to streamline documentation and collaborate with ease.
•Global reach and scale. We are focused on continuing to expand our AI-powered spatial data platform worldwide. We have a significant presence in North America, Europe and Asia, with leadership teams and a go-to-market infrastructure in each of these regions. We have offices in London, Singapore and several across the United States, and we are accelerating our international expansion. As of December 31, 2022, we had over 701,000 subscribers in more than 170 countries. We believe that the geography-agnostic nature of our spatial data platform is a significant advantage as we continue to grow internationally.
•Broad patent portfolio supporting 10 years of R&amp;D and innovation. As of December 31, 2022, we had 54 issued and 37 pending patent applications. Our success is based on almost 10 years of focus on innovation. Innovation has been at the center of Matterport, and we will continue to prioritize our investments in R&amp;D to further our market leading position.
•Superior capture technology. Matterport’s capture technology platform is a software framework that enables support for a wide variety of capture devices required to create a Matterport digital twin of a building or space.
This includes support for LiDAR cameras, 360 cameras, smartphones, Matterport Axis and the Matterport Pro2 and Pro3 cameras. The Pro2 camera was foundational to our spatial data advantage, and we have expanded that advantage with an array of Matterport-enabled third-party capture devices. In August 2022, we launched and began shipment of our Pro3 Camera along with major updates to our industry-leading digital twin cloud platform. The Matterport Pro3 Camera is an advanced 3D capture device, which includes faster boot time, swappable batteries, and a lighter design. The Pro3 camera can perform both indoors and outdoors and is designed for speed, fidelity, versatility and accuracy. Along with our Pro2 Camera, we expect that future sales of our Pro3 Camera will continue to drive increased adoption of our solutions. Matterport is democratizing the 3D capture experience, making high-fidelity and high-accuracy 3D digital twins readily available for any building type and any subscriber need in the property life cycle. While there are other 3D capture solution providers, very few can produce true, dimensionally accurate 3D results, and fewer still can automatically create a final product in photorealistic 3D, and at global scale. This expansive capture technology offering would not be possible without our rich spatial data library available to train the AI-powered Cortex engine to automatically generate accurate digital twins from photos captured with a smartphone or 360 camera.
&lt;/document&gt;</t>
    </r>
  </si>
  <si>
    <r>
      <rPr>
        <rFont val="Arial"/>
        <color theme="1"/>
      </rPr>
      <t xml:space="preserve">User: &lt;question&gt;What was Matterport's subscriber base on the precise date of May 31, 2020?&lt;/question&gt;
Please read the below document. Then, in &lt;scratchpad&gt; tags, pull the most relevant quote from the document and consider whether it answers the user's question or whether it lacks sufficient detail. Then write a brief numerical answer in &lt;answer&gt; tags.
&lt;document&gt;
Matterport SEC filing 10-K 2023
Item 1. Business
Our Company
Matterport is leading the digitization and datafication of the built world. We believe the digital transformation of the built world will fundamentally change the way people interact with buildings and the physical spaces around them.
Since its founding in 2011, Matterport’s pioneering technology has set the standard for digitizing, accessing and managing buildings, spaces and places online. Our platform’s innovative software, spatial data-driven data science, and 3D capture technology have broken down the barriers that have kept the largest asset class in the world, buildings and physical spaces, offline and underutilized for many years. We believe the digitization and datafication of the built world will continue to unlock significant operational efficiencies and property values, and that Matterport is the platform to lead this enormous global transformation.
The world is rapidly moving from offline to online. Digital transformation has made a powerful and lasting impact across every business and industry today. According to International Data Corporation, or IDC, over $6.8 trillion of direct investments will be made on digital transformation from 2020 to 2023, the global digital transformation spending is forecasted to reach $3.4 trillion in 2026 with a five-year compound annual growth rate (“CAGR”) of 16.3%, and digital twin investments are expected to have a five-year CAGR of 35.2%. With this secular shift, there is also growing demand for the built world to transition from physical to digital. Nevertheless, the vast majority of buildings and spaces remain offline and undigitized. The global building stock, estimated by Savills to be $327 trillion in total property value as of 2021, remains largely offline today, and we estimate that less than 0.1% is penetrated by digital transformation.
Matterport was among the first to recognize the increasing need for digitization of the built world and the power of spatial data, the unique details underlying buildings and spaces, in facilitating the understanding of buildings and spaces. In the past, technology advanced physical road maps to the data-rich, digital maps and location services we all rely on today. Matterport now digitizes buildings, creating a data-rich environment to vastly increase our understanding and the full potential of each and every space we capture. Just as we can instantly, at the touch of a button, learn the fastest route from one city to another or locate the nearest coffee shops, Matterport’s spatial data for buildings unlocks a rich set of insights and learnings about properties and spaces worldwide. In addition, just as the geo-spatial mapping platforms of today have opened their mapping data to industry to create new business models such as ridesharing, e-commerce, food delivery marketplaces, and even short-term rental and home sharing, open access to Matterport’s structured spatial data is enabling new opportunities and business models for hospitality, facilities management, insurance, construction, real estate and retail, among others.
We believe the total addressable market opportunity for digitizing the built world is over $240 billion, and could be as high as $1 trillion as the market matures at scale. This is based on our analysis, modeling and understanding of the global building stock of over 4 billion properties and 20 billion spaces in the world today. With the help of artificial intelligence (“AI”), machine learning (“ML”) and deep learning (“DL”) technologies, we believe that, with the additional monetization opportunities from powerful spatial data-driven property insights and analytics, the total addressable market for the digitization and datafication of the built world will reach more than $1 trillion.
Our spatial data platform and capture of digital twins deliver value across a diverse set of industries and use cases. Large retailers can manage thousands of store locations remotely, real estate agencies can provide virtual open houses for hundreds of properties and thousands of visitors at the same time, property developers can monitor the entirety of the construction process with greater detail and speed, and insurance companies can more precisely document and evaluate claims and underwriting assessments with efficiency and precision. Matterport delivers the critical digital experience, tools and information that matter to our subscribers about properties of virtually any size, shape, and location worldwide.
For nearly a decade, we have been growing our spatial data platform and expanding our capabilities in order to create the most detailed, accurate, and data-rich digital twins available. Moreover, our 3D reconstruction process is fully automated, allowing our solution to scale with equal precision to millions of buildings and spaces of any type, shape, and size in the world. The universal applicability of our service provides Matterport significant scale and reach across diverse verticals and any geography. </t>
    </r>
    <r>
      <rPr>
        <rFont val="Arial"/>
        <b/>
        <color theme="1"/>
      </rPr>
      <t>As of December 31, 2022, our subscriber base had grown approximately 39% to over 701,000 subscribers from 503,000 subscribers as of December 31, 2021</t>
    </r>
    <r>
      <rPr>
        <rFont val="Arial"/>
        <color theme="1"/>
      </rPr>
      <t>, with our digital twins reaching more than 170 countries. We have digitized more than 28 billion square feet of space across multiple industries, representing significant scale and growth over the rest of the market.
As we continue to transform buildings into data worldwide, we are extending our spatial data platform to further transform property planning, development, management and intelligence for our subscribers across industries to become the de facto building and business intelligence engine for the built world. We believe the demand for spatial data and resulting insights for enterprises, businesses and institutions across industries, including real estate, architecture, engineering and construction (“AEC”), retail, insurance and government, will continue to grow rapidly.
We believe digitization and datafication represent a tremendous greenfield opportunity for growth across this massive category and asset class. From the early stages of design and development to marketing, operations, insurance and building repair and maintenance, our platform’s software and technology provide subscribers critical tools and insights to drive cost savings, increase revenues and optimally manage their buildings and spaces. We believe that hundreds of billions of dollars in unrealized utilization and operating efficiencies in the built world can be unlocked through the power of our spatial data platform. Our platform and data solutions have universal applicability across industries and building categories, giving Matterport a significant advantage as we can address the entirety of this large market opportunity and increase the value of what we believe to be the largest asset class in the world.
With a demonstrated track record of delivering value to our subscribers, our offerings include software subscription, data licensing, services and product hardware. As of December 31, 2022, our subscriber base included over 24% of Fortune 1000 companies, with less than 10% of our total revenue generated from our top 10 subscribers. We expect more than 80% of our revenue to come from our software subscription and data license solutions by 2025. Our innovative 3D capture products, the Pro2 and Pro3 Cameras, have played an integral part in shaping the 3D building and property visualization ecosystem. The Pro2 and Pro3 Cameras have driven adoption of our solutions and have generated the unique high-quality and scaled data set that has enabled Cortex, our proprietary AI software engine, to become the pioneering engine for digital twin creation. With this data advantage initially spurred by the Pro2 Camera, we have developed a capture device agnostic platform that scales and can generate new building and property insights for our subscribers across industries and geographies.
We have recently experienced rapid growth. Our subscribers have grown approximately 49-fold from December 31, 2018 to December 31, 2022. Our revenue increased by approximately 22% to $136.1 million for the year ended December 31, 2022, from approximately $111.2 million for the year ended December 31, 2021. Our gross profit decreased by $8.1 million or 14%, to $51.8 million for the year ended December 31, 2022, from $60.0 million for the year ended December 31, 2021, primarily attributable to certain disruptive and incremental costs due to the global supply chain constraints in fiscal year 2022. Our ability to retain and grow the subscription revenue generated by our existing subscribers is an important measure of the health of our business and our future growth prospects. We track our performance in this area by measuring our net dollar expansion rate from the same set of customers across comparable periods. Our net dollar expansion rate of 103% for the three months ended December 31, 2022 demonstrates the stickiness and growth potential of our platform.
Our Industry and Market Opportunity
Today, the vast majority of buildings and spaces remain undigitized. We estimate our current serviceable addressable market includes approximately 1.3 billion spaces worldwide, primarily from the real estate and travel and hospitality sectors. With approximately 9.2 million spaces under management as of December 31, 2022, we are continuing to penetrate the global building stock and expand our footprint across various end markets, including residential and commercial real estate, facilities management, retail, AEC, insurance and repair, and travel and hospitality. We estimate our total addressable market to be more than 4 billion buildings and 20 billion spaces globally, yielding a more than $240 billion market opportunity. We believe that as Matterport’s unique spatial data library and property data services continue to grow, this opportunity could increase to more than $1 trillion based on the size of the building stock and the untapped value creation available to buildings worldwide. The constraints created by the COVID-19 pandemic have only reinforced and accelerated the importance of our scaled 3D capture solution that we have developed for diverse industries and markets over the past decade.
Our Spatial Data Platform
Overview
Our technology platform uses spatial data collected from a wide variety of digital capture devices to transform physical buildings and spaces into dimensionally accurate, photorealistic digital twins that provide our subscribers access to previously unavailable building information and insights.
As a first mover in this massive market for nearly a decade, we have developed and scaled our industry-leading 3D reconstruction technology powered by Cortex, our proprietary AI-driven software engine that uses machine learning to recreate a photorealistic, 3D virtual representation of an entire building structure, including contents, equipment and furnishings. The finished product is a detailed and dynamic replication of the physical space that can be explored, analyzed and customized from a web browser on any device, including smartphones. The power to manage even large-scale commercial buildings is in the palm of each subscriber’s hands, made possible by our advanced technology and breakthrough innovations across our entire spatial data technology stack.
Key elements of our spatial data platform include:
•Bringing offline buildings online. Traditionally, our customers needed to conduct in-person site visits to understand and assess their buildings and spaces. While photographs and floor plans can be helpful, these forms of two-dimensional (“2D”) representation have limited information and tend to be static and rigid, and thus lack the interactive element critical to a holistic understanding of each building and space. With the AI-powered capabilities of Cortex, our proprietary AI software, representation of physical objects is no longer confined to static 2D images and physical visits can be eliminated. Cortex helps to move the buildings and spaces from offline to online and makes them accessible to our customers in real-time and on demand from anywhere. After subscribers scan their buildings, our visualization algorithms accurately infer spatial positions and depths from flat, 2D imagery captured through the scans and transform them into high- fidelity and precise digital twin models. This creates a fully automated image processing pipeline to ensure that each digital twin is of professional grade image quality.
•Driven by spatial data. We are a data-driven company. Each incremental capture of a space grows the richness and depth of our spatial data library. Spatial data represents the unique and idiosyncratic details that underlie and compose the buildings and spaces in the human- made environment. Cortex uses the breadth of the billions of data points we have accumulated over the years to improve the 3D accuracy of our digital twins. We help our subscribers pinpoint the height, location and other characteristics of objects in their digital twin. Our sophisticated algorithms also deliver significant commercial value to our subscribers by generating data-based insights that allow them to confidently make assessments and decisions about their properties. For instance, property developers can assess the amount of natural heat and daylight coming from specific windows, retailers can ensure each store layout is up to the same level of code and brand requirements, and factories can insure machinery layouts meet specifications and location guidelines. With approximately 9.2 million spaces under management as of December 31, 2022, our spatial data library is the clearinghouse for information about the built world.
•Powered by AI and ML. Artificial intelligence and machine learning technologies effectively utilize spatial data to create a robust virtual experience that is dynamic, realistic, interactive, informative and permits multiple viewing angles. AI and ML also make costly cameras unnecessary for everyday scans—subscribers can now scan their spaces by simply tapping a button on their smartphones. As a result, Matterport is a device agnostic platform, helping us more rapidly scale and drive towards our mission of digitizing and indexing the built world.
Our value proposition to subscribers is designed to serve the entirety of the digital building lifecycle, from design and build to maintenance and operations, promotion, sale, lease, insure, repair, restore, secure and finance. As a result, we believe we are uniquely positioned to grow our revenue with our subscribers as we help them to discover opportunities to drive short- and long-term return on investment by taking their buildings and spaces from offline to online across their portfolios of properties.
Ubiquitous Capture
Matterport has become the standard for 3D space capture. Our technology platform empowers subscribers worldwide to quickly, easily and accurately digitize, customize and manage interactive and dimensionally accurate digital twins of their buildings and spaces.
The Matterport platform is designed to work with a wide range of LiDAR, spherical, 3D and 360 cameras, as well as smartphones, to suit the capture needs of all of our subscribers. This provides the flexibility to capture a space of any size, scale, and complexity, at anytime and anywhere.
•Matterport Pro3 is our newest 3D camera that scans properties faster than earlier versions to help accelerate project completion. Pro3 provides the highest accuracy scans of both indoor and outdoor spaces and is designed for speed, fidelity, versatility and accuracy. Capturing 3D data up to 100 meters away at less than 20 seconds per sweep, Pro3’s ultra-fast, high-precision LiDAR sensor can run for hours and takes millions of measurements in any conditions.
•Matterport Pro2 is our proprietary 3D camera that has been used to capture millions of spaces around the world with a high degree of fidelity, precision, speed and simplicity. Capable of capturing buildings more than 500,000 square feet in size, it has become the camera of choice for many residential, commercial, industrial and large-scale properties.
•360 Cameras. Matterport supports a selection of 360 cameras available in the market. These affordable, pocket sized devices deliver precision captures with high fidelity and are appropriate for capturing smaller homes, condos, short-term rentals, apartments, and more. The spherical lens image capture technology of these devices gives Cortex robust, detailed image data to transform panoramas into our industry-leading digital twins.
•LEICA BLK360. Through our partnership with Leica, our 3D reconstruction technology and our AI powered software engine, Cortex, transform this powerful LiDAR camera into an ultra-precise capture device for creating Matterport digital twins. It is the solution of choice for AEC professionals when exacting precision is required.
•Smartphone Capture. Our capture apps are commercially available for both iOS and Android. Matterport’s smartphone capture solution has democratized 3D capture, making it easy and accessible for anyone to digitize buildings and spaces with a recent iPhone device since the initial introduction of Matterport for iPhone in May 2020. In April 2021, we announced the official release of the Android Capture app, giving Android users the ability to quickly and easily capture buildings and spaces in immersive 3D. In February 2022, we launched Matterport Axis, a motorized mount that holds a smartphone and can be used with the Matterport Capture app to capture 3D digital twins of any physical space with increased speed, precision, and consistency.
Cortex and 3D Reconstruction (the Matterport Digital Twin)
With a spatial data library, as of December 31, 2022, of approximately 9.2 million spaces under management, representing approximately 28 billion captured square feet of space, we use our advanced ML and DL technologies to algorithmically transform the spatial data we capture into an accurate 3D digital reproduction of any physical space. This intelligent, automated 3D reconstruction is made possible by Cortex, our AI-powered software engine that includes a deep learning neural network that uses our spatial data library to understand how a building or space is divided into floors and rooms, where the doorways and openings are located, and what types of rooms are present, such that those forms are compiled and aligned with dimensional accuracy into a dynamic, photorealistic digital twin. Other components of Cortex include AI-powered computer vision technologies to identify and classify the contents inside a building or space, and object recognition technologies to identify and segment everything from furnishings and equipment to doors, windows, light fixtures, fire suppression sprinklers and fire escapes. Our highly scalable artificial intelligence platform enables our subscribers to tap into powerful, enhanced building data and insights at the click of a button.
The Science Behind the Matterport Digital Twin: Cortex AI Highlights
Matterport Runs on Cortex
Cortex is our AI-powered software engine that includes a precision deep learning neural network to create digital twins of any building or space. Developed using our proprietary spatial data captured with our Pro2 and Pro3 cameras, Cortex delivers a high degree of precision and accuracy while enabling 3D capture using everyday devices.
Generic neural networks struggle with 3D reconstruction of the real world. Matterport-optimized networks deliver more accurate and robust results. More than just raw training data, Matterport’s datasets allow us to develop new neural network architectures and evaluate them against user behavior and real-world data in millions of situations.
•Deep learning: Connecting and optimizing the detailed neural network data architecture of each space is key to creating robust, highly accurate 3D digital twins. Cortex evaluates and optimizes each 3D model against Matterport’s rich spatial data aggregated from millions of buildings and spaces and the human annotations of those data provided by tens of thousands of subscribers worldwide. Cortex’s evaluative abilities and its data-driven optimization of 3D reconstruction yield consistent, high-precision results across a wide array of building configurations, spaces and environments.
•Dynamic 3D reconstruction: Creating precise 3D spatial data at scale from 2D visuals and static images requires a combination of photorealistic, detailed data from multiple viewpoints and millions of spaces that train and optimize Cortex’s neural network and learning capabilities for improved 3D reconstruction of any space. Cortex’s capabilities combined with real-time spatial alignment algorithms in our 3D capture technology create an intuitive “preview” of any work in progress, allowing subscribers to work with their content interactively and in real-time.
•Computer vision: Cortex enables a suite of powerful features to enhance the value of digital twins. These include automatic measurements for rooms or objects in a room, automatic 2D-from-3D high-definition photo gallery creation, auto face blurring for privacy protection, custom videos, walkthroughs, auto room labeling and object recognition.
•Advanced image processing: Matterport’s computational photography algorithms create a fully automated image processing pipeline to help ensure that each digital twin is of professional grade image quality. Our patented technology makes 3D capture as simple as pressing a single button. Matterport’s software and technology manage the remaining steps, including white balance and camera-specific color correction, high dynamic range tone mapping, de-noising, haze removal, sharpening, saturation and other adjustments to improve image quality.
Spatial Data and AI-Powered Insights
Every Matterport digital twin contains extensive information about a building, room or physical space. The data uses our AI-powered Cortex engine. In addition to the Matterport digital twin itself, our spatial data consists of precision building geometry and structural detail, building contents, fixtures and condition, along with high-definition imagery and photorealistic detail from many vantage points in a space. Cortex employs a technique we call deep spatial indexing. Deep spatial indexing uses artificial intelligence, computer vision and deep learning to identify and convey important details about each space, its structure and its contents with precision and fidelity. We have created a robust spatial data standard that enables Matterport subscribers to harness an interoperable digital system of record for any building.
In addition to creating a highly interactive digital experience for subscribers through the construction of digital twins, we ask ourselves two questions for every subscriber: (1) what is important about their building or physical space and (2) what learnings and insights can we deliver for this space? Our AI-powered Cortex engine helps us answer these questions using our spatial data library to provide aggregated property trends and operational and valuation insights. Moreover, as the Matterport platform ecosystem continues to expand, our subscribers, partners and other third-party developers can bring their own tools to further the breadth and depth of insights they can harvest from our rich spatial data layer.
Extensible Platform Ecosystem
Matterport offers the largest and most accurate library of spatial data in the world, with, as of December 31, 2022, approximately 9.2 million spaces under management and approximately 28 billion captured square feet. The versatility of our spatial data platform and extensive enterprise software development kit and application programming interfaces (“APIs”) has allowed us to develop a robust global ecosystem of channels and partners that extend the Matterport value proposition by geography and vertical market. We intend to continue to deploy a broad set of workflow integrations with our partners and their subscribers to promote an integrated Matterport solution across our target markets. We are also developing a third-party software marketplace to extend the power of our spatial data platform with easy-to-deploy and easy-to-access Matterport software add-ons. The marketplace enables developers to build new applications and spatial data mining tools, enhance the Matterport 3D experience, and create new productivity and property management tools that supplement our core offerings. These value-added capabilities created by third-party developers enable a scalable new revenue stream, with Matterport sharing the subscription and services revenue from each add-on that is deployed to subscribers through the online marketplace. The network effects of our platform ecosystem contributes to the growth of our business, and we believe that it will continue to bolster future growth by enhancing subscriber stickiness and user engagement.
Examples of Matterport add-ons and extensions include:
•Add-ons: Encircle (easy-to-use field documentation tools for faster claims processing); WP Matterport Shortcode (free Wordpress plugin that allows Matterport to be embedded quickly and easily with a Matterport shortcode), WP3D Models (WordPress + Matterport integration plugin); Rela (all-in-one marketing solution for listings); CAPTUR3D (all-in-one Content Management System that extends value to Matterport digital twins); Private Model Emded (feature that allows enterprises to privately share digital twins with a large group of employees on the corporate network without requiring additional user licenses); Views (new workgroup collaboration framework to enable groups and large organizations to create separate, permissions-based workflows to manage different tasks with different teams); and Guided Tours and Tags (tool to elevate the visitor experience by creating directed virtual tours of any commercial or residential space tailored to the interests of their visitors). We unveiled our private beta integration with Amazon Web Services (AWS) IoT TwinMaker to enable enterprise customers to seamlessly connect IoT data into visually immersive and dimensionally accurate Matterport digital twin.
•Services: Matterport ADA Compliant Digital Twin (solution to provide American Disability Act compliant digital twins) and Enterprise Cloud Software Platform (reimagined cloud software platform for the enterprise that creates, publishes, and manages digital twins of buildings and spaces of any size of shape, indoors or outdoors).
Our Competitive Strengths
We believe that we have a number of competitive strengths that will enable our market leadership to grow. Our competitive strengths include:
•Breadth and depth of the Matterport platform. Our core strength is our all-in-one spatial data platform with broad reach across diverse verticals and geographies such as capture to processing to industries without customization. With the ability to integrate seamlessly with various enterprise systems, our platform delivers value across the property lifecycle for diverse end markets, including real estate, AEC, travel and hospitality, repair and insurance, and industrial and facilities. As of December 31, 2022, our global reach extended to subscribers in more than 170 countries, including over 24% of Fortune 1000 companies.
•Market leadership and first-mover advantage. Matterport defined the category of digitizing and datafying the built world almost a decade ago, and we have become the global leader in the category. As of December 31, 2022, we had over 701,000 subscribers on our platform and approximately 9.2 million spaces under management. Our leadership is primarily driven by the fact that we were the first mover in digital twin creation. As a result of our first mover advantage, we have amassed a deep and rich library of spatial data that continues to compound and enhance our leadership position.
•Significant network effect. With each new capture and piece of data added to our platform, the richness of our dataset and the depth of insights from our spaces under management grow. In addition, the combination of our ability to turn data into insights with incremental data from new data captures by our subscribers enables Matterport to develop features for subscribers to our platform. We were a first mover in building a spatial data library for the built world, and our leadership in gathering and deriving insights from data continues to compound and the relevance of those insights attracts more new subscribers.
•Massive spatial data library as the raw material for valuable property insights. The scale of our spatial data library is a significant advantage in deriving insights for our subscribers. Our spatial data library serves as vital ground truth for Cortex, enabling Matterport to create powerful 3D digital twins using a wide range of camera technology, including low-cost digital and smartphone cameras. As of December 31, 2022, our data came from approximately 9.2 million spaces under management and approximately 28 billion captured square feet. As a result, we have taken property insights and analytics to new levels, benefiting subscribers across various industries. For example, facilities managers significantly reduce the time needed to create building layouts, leading to a significant decrease in the cost of site surveying and as-built modeling. AEC subscribers use the analytics of each as-built space to streamline documentation and collaborate with ease.
•Global reach and scale. We are focused on continuing to expand our AI-powered spatial data platform worldwide. We have a significant presence in North America, Europe and Asia, with leadership teams and a go-to-market infrastructure in each of these regions. We have offices in London, Singapore and several across the United States, and we are accelerating our international expansion. As of December 31, 2022, we had over 701,000 subscribers in more than 170 countries. We believe that the geography-agnostic nature of our spatial data platform is a significant advantage as we continue to grow internationally.
•Broad patent portfolio supporting 10 years of R&amp;D and innovation. As of December 31, 2022, we had 54 issued and 37 pending patent applications. Our success is based on almost 10 years of focus on innovation. Innovation has been at the center of Matterport, and we will continue to prioritize our investments in R&amp;D to further our market leading position.
•Superior capture technology. Matterport’s capture technology platform is a software framework that enables support for a wide variety of capture devices required to create a Matterport digital twin of a building or space.
This includes support for LiDAR cameras, 360 cameras, smartphones, Matterport Axis and the Matterport Pro2 and Pro3 cameras. The Pro2 camera was foundational to our spatial data advantage, and we have expanded that advantage with an array of Matterport-enabled third-party capture devices. In August 2022, we launched and began shipment of our Pro3 Camera along with major updates to our industry-leading digital twin cloud platform. The Matterport Pro3 Camera is an advanced 3D capture device, which includes faster boot time, swappable batteries, and a lighter design. The Pro3 camera can perform both indoors and outdoors and is designed for speed, fidelity, versatility and accuracy. Along with our Pro2 Camera, we expect that future sales of our Pro3 Camera will continue to drive increased adoption of our solutions. Matterport is democratizing the 3D capture experience, making high-fidelity and high-accuracy 3D digital twins readily available for any building type and any subscriber need in the property life cycle. While there are other 3D capture solution providers, very few can produce true, dimensionally accurate 3D results, and fewer still can automatically create a final product in photorealistic 3D, and at global scale. This expansive capture technology offering would not be possible without our rich spatial data library available to train the AI-powered Cortex engine to automatically generate accurate digital twins from photos captured with a smartphone or 360 camera.
&lt;/document&gt;</t>
    </r>
  </si>
  <si>
    <t>← Chapter 7 Exercises: Using Examples (Few-Shot Prompting)</t>
  </si>
  <si>
    <t>Chapter 8: Avoiding Hallucinations - Exercises</t>
  </si>
  <si>
    <t>Exercise 8.1 - Beyoncé Hallucination</t>
  </si>
  <si>
    <t>Exercise 8.2 - Prospectus Hallucination</t>
  </si>
  <si>
    <r>
      <rPr>
        <rFont val="Arial"/>
        <color theme="1"/>
        <sz val="11.0"/>
      </rPr>
      <t xml:space="preserve">Adapt the prompt in the </t>
    </r>
    <r>
      <rPr>
        <rFont val="Arial"/>
        <b/>
        <color rgb="FFBF9000"/>
        <sz val="11.0"/>
      </rPr>
      <t>YELLOW</t>
    </r>
    <r>
      <rPr>
        <rFont val="Arial"/>
        <color theme="1"/>
        <sz val="11.0"/>
      </rPr>
      <t xml:space="preserve"> prompt box to </t>
    </r>
    <r>
      <rPr>
        <rFont val="Arial"/>
        <color theme="1"/>
        <sz val="11.0"/>
        <u/>
      </rPr>
      <t>fix Claude's hallucination issue by giving Claude an out.</t>
    </r>
    <r>
      <rPr>
        <rFont val="Arial"/>
        <color theme="1"/>
        <sz val="11.0"/>
      </rPr>
      <t xml:space="preserve"> (Renaissance is Beyoncé's seventh studio album, not her eighth.) 
If your answer is correct, Claude's response cell will turn </t>
    </r>
    <r>
      <rPr>
        <rFont val="Arial"/>
        <b/>
        <color rgb="FF34A853"/>
        <sz val="11.0"/>
      </rPr>
      <t>GREEN</t>
    </r>
    <r>
      <rPr>
        <rFont val="Arial"/>
        <color theme="1"/>
        <sz val="11.0"/>
      </rPr>
      <t>.</t>
    </r>
  </si>
  <si>
    <t>User: In what year did star performer Beyoncé release her eighth studio album?</t>
  </si>
  <si>
    <r>
      <rPr>
        <rFont val="Arial"/>
        <b/>
        <color rgb="FF000000"/>
        <sz val="11.0"/>
      </rPr>
      <t xml:space="preserve">Hint: </t>
    </r>
    <r>
      <rPr>
        <rFont val="Arial"/>
        <color rgb="FF000000"/>
        <sz val="11.0"/>
      </rPr>
      <t xml:space="preserve">What should Claude do if it doesn't know the answer?
The conditional formatting in this exercise is looking for a response that contains the phrase "I do not", "I don't", or "Unfortunately", and does </t>
    </r>
    <r>
      <rPr>
        <rFont val="Arial"/>
        <b/>
        <color rgb="FF000000"/>
        <sz val="11.0"/>
      </rPr>
      <t>not</t>
    </r>
    <r>
      <rPr>
        <rFont val="Arial"/>
        <color rgb="FF000000"/>
        <sz val="11.0"/>
      </rPr>
      <t xml:space="preserve"> contain "2022".</t>
    </r>
  </si>
  <si>
    <r>
      <rPr>
        <rFont val="Arial"/>
        <color theme="1"/>
        <sz val="11.0"/>
      </rPr>
      <t xml:space="preserve">Modify the prompt in the </t>
    </r>
    <r>
      <rPr>
        <rFont val="Arial"/>
        <b/>
        <color rgb="FFBF9000"/>
        <sz val="11.0"/>
      </rPr>
      <t>YELLOW</t>
    </r>
    <r>
      <rPr>
        <rFont val="Arial"/>
        <color theme="1"/>
        <sz val="11.0"/>
      </rPr>
      <t xml:space="preserve"> prompt box to </t>
    </r>
    <r>
      <rPr>
        <rFont val="Arial"/>
        <color theme="1"/>
        <sz val="11.0"/>
        <u/>
      </rPr>
      <t>fix Claude's hallucination issue by asking for citations.</t>
    </r>
    <r>
      <rPr>
        <rFont val="Arial"/>
        <color theme="1"/>
        <sz val="11.0"/>
      </rPr>
      <t xml:space="preserve"> The correct answer is that subscribers went up 49x. 
If your answer is correct, Claude's response cell will turn </t>
    </r>
    <r>
      <rPr>
        <rFont val="Arial"/>
        <b/>
        <color rgb="FF34A853"/>
        <sz val="11.0"/>
      </rPr>
      <t>GREEN</t>
    </r>
    <r>
      <rPr>
        <rFont val="Arial"/>
        <color theme="1"/>
        <sz val="11.0"/>
      </rPr>
      <t>.</t>
    </r>
  </si>
  <si>
    <r>
      <rPr>
        <rFont val="Arial"/>
        <color theme="1"/>
      </rPr>
      <t xml:space="preserve">User: From December 2018 to December 2022, by what amount did Matterport's subscribers grow?
&lt;document&gt;
Matterport SEC filing 10-K 2023
Item 1. Business
Our Company
Matterport is leading the digitization and datafication of the built world. We believe the digital transformation of the built world will fundamentally change the way people interact with buildings and the physical spaces around them.
Since its founding in 2011, Matterport’s pioneering technology has set the standard for digitizing, accessing and managing buildings, spaces and places online. Our platform’s innovative software, spatial data-driven data science, and 3D capture technology have broken down the barriers that have kept the largest asset class in the world, buildings and physical spaces, offline and underutilized for many years. We believe the digitization and datafication of the built world will continue to unlock significant operational efficiencies and property values, and that Matterport is the platform to lead this enormous global transformation.
The world is rapidly moving from offline to online. Digital transformation has made a powerful and lasting impact across every business and industry today. According to International Data Corporation, or IDC, over $6.8 trillion of direct investments will be made on digital transformation from 2020 to 2023, the global digital transformation spending is forecasted to reach $3.4 trillion in 2026 with a five-year compound annual growth rate (“CAGR”) of 16.3%, and digital twin investments are expected to have a five-year CAGR of 35.2%. With this secular shift, there is also growing demand for the built world to transition from physical to digital. Nevertheless, the vast majority of buildings and spaces remain offline and undigitized. The global building stock, estimated by Savills to be $327 trillion in total property value as of 2021, remains largely offline today, and we estimate that less than 0.1% is penetrated by digital transformation.
Matterport was among the first to recognize the increasing need for digitization of the built world and the power of spatial data, the unique details underlying buildings and spaces, in facilitating the understanding of buildings and spaces. In the past, technology advanced physical road maps to the data-rich, digital maps and location services we all rely on today. Matterport now digitizes buildings, creating a data-rich environment to vastly increase our understanding and the full potential of each and every space we capture. Just as we can instantly, at the touch of a button, learn the fastest route from one city to another or locate the nearest coffee shops, Matterport’s spatial data for buildings unlocks a rich set of insights and learnings about properties and spaces worldwide. In addition, just as the geo-spatial mapping platforms of today have opened their mapping data to industry to create new business models such as ridesharing, e-commerce, food delivery marketplaces, and even short-term rental and home sharing, open access to Matterport’s structured spatial data is enabling new opportunities and business models for hospitality, facilities management, insurance, construction, real estate and retail, among others.
We believe the total addressable market opportunity for digitizing the built world is over $240 billion, and could be as high as $1 trillion as the market matures at scale. This is based on our analysis, modeling and understanding of the global building stock of over 4 billion properties and 20 billion spaces in the world today. With the help of artificial intelligence (“AI”), machine learning (“ML”) and deep learning (“DL”) technologies, we believe that, with the additional monetization opportunities from powerful spatial data-driven property insights and analytics, the total addressable market for the digitization and datafication of the built world will reach more than $1 trillion.
Our spatial data platform and capture of digital twins deliver value across a diverse set of industries and use cases. Large retailers can manage thousands of store locations remotely, real estate agencies can provide virtual open houses for hundreds of properties and thousands of visitors at the same time, property developers can monitor the entirety of the construction process with greater detail and speed, and insurance companies can more precisely document and evaluate claims and underwriting assessments with efficiency and precision. Matterport delivers the critical digital experience, tools and information that matter to our subscribers about properties of virtually any size, shape, and location worldwide.
For nearly a decade, we have been growing our spatial data platform and expanding our capabilities in order to create the most detailed, accurate, and data-rich digital twins available. Moreover, our 3D reconstruction process is fully automated, allowing our solution to scale with equal precision to millions of buildings and spaces of any type, shape, and size in the world. The universal applicability of our service provides Matterport significant scale and reach across diverse verticals and any geography. </t>
    </r>
    <r>
      <rPr>
        <rFont val="Arial"/>
        <b/>
        <color theme="1"/>
      </rPr>
      <t>As of December 31, 2022, our subscriber base had grown approximately 39% to over 701,000 subscribers from 503,000 subscribers as of December 31, 2021</t>
    </r>
    <r>
      <rPr>
        <rFont val="Arial"/>
        <color theme="1"/>
      </rPr>
      <t>, with our digital twins reaching more than 170 countries. We have digitized more than 28 billion square feet of space across multiple industries, representing significant scale and growth over the rest of the market.
As we continue to transform buildings into data worldwide, we are extending our spatial data platform to further transform property planning, development, management and intelligence for our subscribers across industries to become the de facto building and business intelligence engine for the built world. We believe the demand for spatial data and resulting insights for enterprises, businesses and institutions across industries, including real estate, architecture, engineering and construction (“AEC”), retail, insurance and government, will continue to grow rapidly.
We believe digitization and datafication represent a tremendous greenfield opportunity for growth across this massive category and asset class. From the early stages of design and development to marketing, operations, insurance and building repair and maintenance, our platform’s software and technology provide subscribers critical tools and insights to drive cost savings, increase revenues and optimally manage their buildings and spaces. We believe that hundreds of billions of dollars in unrealized utilization and operating efficiencies in the built world can be unlocked through the power of our spatial data platform. Our platform and data solutions have universal applicability across industries and building categories, giving Matterport a significant advantage as we can address the entirety of this large market opportunity and increase the value of what we believe to be the largest asset class in the world.
With a demonstrated track record of delivering value to our subscribers, our offerings include software subscription, data licensing, services and product hardware. As of December 31, 2022, our subscriber base included over 24% of Fortune 1000 companies, with less than 10% of our total revenue generated from our top 10 subscribers. We expect more than 80% of our revenue to come from our software subscription and data license solutions by 2025. Our innovative 3D capture products, the Pro2 and Pro3 Cameras, have played an integral part in shaping the 3D building and property visualization ecosystem. The Pro2 and Pro3 Cameras have driven adoption of our solutions and have generated the unique high-quality and scaled data set that has enabled Cortex, our proprietary AI software engine, to become the pioneering engine for digital twin creation. With this data advantage initially spurred by the Pro2 Camera, we have developed a capture device agnostic platform that scales and can generate new building and property insights for our subscribers across industries and geographies.
We have recently experienced rapid growth. Our subscribers have grown approximately 49-fold from December 31, 2018 to December 31, 2022. Our revenue increased by approximately 22% to $136.1 million for the year ended December 31, 2022, from approximately $111.2 million for the year ended December 31, 2021. Our gross profit decreased by $8.1 million or 14%, to $51.8 million for the year ended December 31, 2022, from $60.0 million for the year ended December 31, 2021, primarily attributable to certain disruptive and incremental costs due to the global supply chain constraints in fiscal year 2022. Our ability to retain and grow the subscription revenue generated by our existing subscribers is an important measure of the health of our business and our future growth prospects. We track our performance in this area by measuring our net dollar expansion rate from the same set of customers across comparable periods. Our net dollar expansion rate of 103% for the three months ended December 31, 2022 demonstrates the stickiness and growth potential of our platform.
Our Industry and Market Opportunity
Today, the vast majority of buildings and spaces remain undigitized. We estimate our current serviceable addressable market includes approximately 1.3 billion spaces worldwide, primarily from the real estate and travel and hospitality sectors. With approximately 9.2 million spaces under management as of December 31, 2022, we are continuing to penetrate the global building stock and expand our footprint across various end markets, including residential and commercial real estate, facilities management, retail, AEC, insurance and repair, and travel and hospitality. We estimate our total addressable market to be more than 4 billion buildings and 20 billion spaces globally, yielding a more than $240 billion market opportunity. We believe that as Matterport’s unique spatial data library and property data services continue to grow, this opportunity could increase to more than $1 trillion based on the size of the building stock and the untapped value creation available to buildings worldwide. The constraints created by the COVID-19 pandemic have only reinforced and accelerated the importance of our scaled 3D capture solution that we have developed for diverse industries and markets over the past decade.
Our Spatial Data Platform
Overview
Our technology platform uses spatial data collected from a wide variety of digital capture devices to transform physical buildings and spaces into dimensionally accurate, photorealistic digital twins that provide our subscribers access to previously unavailable building information and insights.
As a first mover in this massive market for nearly a decade, we have developed and scaled our industry-leading 3D reconstruction technology powered by Cortex, our proprietary AI-driven software engine that uses machine learning to recreate a photorealistic, 3D virtual representation of an entire building structure, including contents, equipment and furnishings. The finished product is a detailed and dynamic replication of the physical space that can be explored, analyzed and customized from a web browser on any device, including smartphones. The power to manage even large-scale commercial buildings is in the palm of each subscriber’s hands, made possible by our advanced technology and breakthrough innovations across our entire spatial data technology stack.
Key elements of our spatial data platform include:
•Bringing offline buildings online. Traditionally, our customers needed to conduct in-person site visits to understand and assess their buildings and spaces. While photographs and floor plans can be helpful, these forms of two-dimensional (“2D”) representation have limited information and tend to be static and rigid, and thus lack the interactive element critical to a holistic understanding of each building and space. With the AI-powered capabilities of Cortex, our proprietary AI software, representation of physical objects is no longer confined to static 2D images and physical visits can be eliminated. Cortex helps to move the buildings and spaces from offline to online and makes them accessible to our customers in real-time and on demand from anywhere. After subscribers scan their buildings, our visualization algorithms accurately infer spatial positions and depths from flat, 2D imagery captured through the scans and transform them into high- fidelity and precise digital twin models. This creates a fully automated image processing pipeline to ensure that each digital twin is of professional grade image quality.
•Driven by spatial data. We are a data-driven company. Each incremental capture of a space grows the richness and depth of our spatial data library. Spatial data represents the unique and idiosyncratic details that underlie and compose the buildings and spaces in the human- made environment. Cortex uses the breadth of the billions of data points we have accumulated over the years to improve the 3D accuracy of our digital twins. We help our subscribers pinpoint the height, location and other characteristics of objects in their digital twin. Our sophisticated algorithms also deliver significant commercial value to our subscribers by generating data-based insights that allow them to confidently make assessments and decisions about their properties. For instance, property developers can assess the amount of natural heat and daylight coming from specific windows, retailers can ensure each store layout is up to the same level of code and brand requirements, and factories can insure machinery layouts meet specifications and location guidelines. With approximately 9.2 million spaces under management as of December 31, 2022, our spatial data library is the clearinghouse for information about the built world.
•Powered by AI and ML. Artificial intelligence and machine learning technologies effectively utilize spatial data to create a robust virtual experience that is dynamic, realistic, interactive, informative and permits multiple viewing angles. AI and ML also make costly cameras unnecessary for everyday scans—subscribers can now scan their spaces by simply tapping a button on their smartphones. As a result, Matterport is a device agnostic platform, helping us more rapidly scale and drive towards our mission of digitizing and indexing the built world.
Our value proposition to subscribers is designed to serve the entirety of the digital building lifecycle, from design and build to maintenance and operations, promotion, sale, lease, insure, repair, restore, secure and finance. As a result, we believe we are uniquely positioned to grow our revenue with our subscribers as we help them to discover opportunities to drive short- and long-term return on investment by taking their buildings and spaces from offline to online across their portfolios of properties.
Ubiquitous Capture
Matterport has become the standard for 3D space capture. Our technology platform empowers subscribers worldwide to quickly, easily and accurately digitize, customize and manage interactive and dimensionally accurate digital twins of their buildings and spaces.
The Matterport platform is designed to work with a wide range of LiDAR, spherical, 3D and 360 cameras, as well as smartphones, to suit the capture needs of all of our subscribers. This provides the flexibility to capture a space of any size, scale, and complexity, at anytime and anywhere.
•Matterport Pro3 is our newest 3D camera that scans properties faster than earlier versions to help accelerate project completion. Pro3 provides the highest accuracy scans of both indoor and outdoor spaces and is designed for speed, fidelity, versatility and accuracy. Capturing 3D data up to 100 meters away at less than 20 seconds per sweep, Pro3’s ultra-fast, high-precision LiDAR sensor can run for hours and takes millions of measurements in any conditions.
•Matterport Pro2 is our proprietary 3D camera that has been used to capture millions of spaces around the world with a high degree of fidelity, precision, speed and simplicity. Capable of capturing buildings more than 500,000 square feet in size, it has become the camera of choice for many residential, commercial, industrial and large-scale properties.
•360 Cameras. Matterport supports a selection of 360 cameras available in the market. These affordable, pocket sized devices deliver precision captures with high fidelity and are appropriate for capturing smaller homes, condos, short-term rentals, apartments, and more. The spherical lens image capture technology of these devices gives Cortex robust, detailed image data to transform panoramas into our industry-leading digital twins.
•LEICA BLK360. Through our partnership with Leica, our 3D reconstruction technology and our AI powered software engine, Cortex, transform this powerful LiDAR camera into an ultra-precise capture device for creating Matterport digital twins. It is the solution of choice for AEC professionals when exacting precision is required.
•Smartphone Capture. Our capture apps are commercially available for both iOS and Android. Matterport’s smartphone capture solution has democratized 3D capture, making it easy and accessible for anyone to digitize buildings and spaces with a recent iPhone device since the initial introduction of Matterport for iPhone in May 2020. In April 2021, we announced the official release of the Android Capture app, giving Android users the ability to quickly and easily capture buildings and spaces in immersive 3D. In February 2022, we launched Matterport Axis, a motorized mount that holds a smartphone and can be used with the Matterport Capture app to capture 3D digital twins of any physical space with increased speed, precision, and consistency.
Cortex and 3D Reconstruction (the Matterport Digital Twin)
With a spatial data library, as of December 31, 2022, of approximately 9.2 million spaces under management, representing approximately 28 billion captured square feet of space, we use our advanced ML and DL technologies to algorithmically transform the spatial data we capture into an accurate 3D digital reproduction of any physical space. This intelligent, automated 3D reconstruction is made possible by Cortex, our AI-powered software engine that includes a deep learning neural network that uses our spatial data library to understand how a building or space is divided into floors and rooms, where the doorways and openings are located, and what types of rooms are present, such that those forms are compiled and aligned with dimensional accuracy into a dynamic, photorealistic digital twin. Other components of Cortex include AI-powered computer vision technologies to identify and classify the contents inside a building or space, and object recognition technologies to identify and segment everything from furnishings and equipment to doors, windows, light fixtures, fire suppression sprinklers and fire escapes. Our highly scalable artificial intelligence platform enables our subscribers to tap into powerful, enhanced building data and insights at the click of a button.
The Science Behind the Matterport Digital Twin: Cortex AI Highlights
Matterport Runs on Cortex
Cortex is our AI-powered software engine that includes a precision deep learning neural network to create digital twins of any building or space. Developed using our proprietary spatial data captured with our Pro2 and Pro3 cameras, Cortex delivers a high degree of precision and accuracy while enabling 3D capture using everyday devices.
Generic neural networks struggle with 3D reconstruction of the real world. Matterport-optimized networks deliver more accurate and robust results. More than just raw training data, Matterport’s datasets allow us to develop new neural network architectures and evaluate them against user behavior and real-world data in millions of situations.
•Deep learning: Connecting and optimizing the detailed neural network data architecture of each space is key to creating robust, highly accurate 3D digital twins. Cortex evaluates and optimizes each 3D model against Matterport’s rich spatial data aggregated from millions of buildings and spaces and the human annotations of those data provided by tens of thousands of subscribers worldwide. Cortex’s evaluative abilities and its data-driven optimization of 3D reconstruction yield consistent, high-precision results across a wide array of building configurations, spaces and environments.
•Dynamic 3D reconstruction: Creating precise 3D spatial data at scale from 2D visuals and static images requires a combination of photorealistic, detailed data from multiple viewpoints and millions of spaces that train and optimize Cortex’s neural network and learning capabilities for improved 3D reconstruction of any space. Cortex’s capabilities combined with real-time spatial alignment algorithms in our 3D capture technology create an intuitive “preview” of any work in progress, allowing subscribers to work with their content interactively and in real-time.
•Computer vision: Cortex enables a suite of powerful features to enhance the value of digital twins. These include automatic measurements for rooms or objects in a room, automatic 2D-from-3D high-definition photo gallery creation, auto face blurring for privacy protection, custom videos, walkthroughs, auto room labeling and object recognition.
•Advanced image processing: Matterport’s computational photography algorithms create a fully automated image processing pipeline to help ensure that each digital twin is of professional grade image quality. Our patented technology makes 3D capture as simple as pressing a single button. Matterport’s software and technology manage the remaining steps, including white balance and camera-specific color correction, high dynamic range tone mapping, de-noising, haze removal, sharpening, saturation and other adjustments to improve image quality.
Spatial Data and AI-Powered Insights
Every Matterport digital twin contains extensive information about a building, room or physical space. The data uses our AI-powered Cortex engine. In addition to the Matterport digital twin itself, our spatial data consists of precision building geometry and structural detail, building contents, fixtures and condition, along with high-definition imagery and photorealistic detail from many vantage points in a space. Cortex employs a technique we call deep spatial indexing. Deep spatial indexing uses artificial intelligence, computer vision and deep learning to identify and convey important details about each space, its structure and its contents with precision and fidelity. We have created a robust spatial data standard that enables Matterport subscribers to harness an interoperable digital system of record for any building.
In addition to creating a highly interactive digital experience for subscribers through the construction of digital twins, we ask ourselves two questions for every subscriber: (1) what is important about their building or physical space and (2) what learnings and insights can we deliver for this space? Our AI-powered Cortex engine helps us answer these questions using our spatial data library to provide aggregated property trends and operational and valuation insights. Moreover, as the Matterport platform ecosystem continues to expand, our subscribers, partners and other third-party developers can bring their own tools to further the breadth and depth of insights they can harvest from our rich spatial data layer.
Extensible Platform Ecosystem
Matterport offers the largest and most accurate library of spatial data in the world, with, as of December 31, 2022, approximately 9.2 million spaces under management and approximately 28 billion captured square feet. The versatility of our spatial data platform and extensive enterprise software development kit and application programming interfaces (“APIs”) has allowed us to develop a robust global ecosystem of channels and partners that extend the Matterport value proposition by geography and vertical market. We intend to continue to deploy a broad set of workflow integrations with our partners and their subscribers to promote an integrated Matterport solution across our target markets. We are also developing a third-party software marketplace to extend the power of our spatial data platform with easy-to-deploy and easy-to-access Matterport software add-ons. The marketplace enables developers to build new applications and spatial data mining tools, enhance the Matterport 3D experience, and create new productivity and property management tools that supplement our core offerings. These value-added capabilities created by third-party developers enable a scalable new revenue stream, with Matterport sharing the subscription and services revenue from each add-on that is deployed to subscribers through the online marketplace. The network effects of our platform ecosystem contributes to the growth of our business, and we believe that it will continue to bolster future growth by enhancing subscriber stickiness and user engagement.
Examples of Matterport add-ons and extensions include:
•Add-ons: Encircle (easy-to-use field documentation tools for faster claims processing); WP Matterport Shortcode (free Wordpress plugin that allows Matterport to be embedded quickly and easily with a Matterport shortcode), WP3D Models (WordPress + Matterport integration plugin); Rela (all-in-one marketing solution for listings); CAPTUR3D (all-in-one Content Management System that extends value to Matterport digital twins); Private Model Emded (feature that allows enterprises to privately share digital twins with a large group of employees on the corporate network without requiring additional user licenses); Views (new workgroup collaboration framework to enable groups and large organizations to create separate, permissions-based workflows to manage different tasks with different teams); and Guided Tours and Tags (tool to elevate the visitor experience by creating directed virtual tours of any commercial or residential space tailored to the interests of their visitors). We unveiled our private beta integration with Amazon Web Services (AWS) IoT TwinMaker to enable enterprise customers to seamlessly connect IoT data into visually immersive and dimensionally accurate Matterport digital twin.
•Services: Matterport ADA Compliant Digital Twin (solution to provide American Disability Act compliant digital twins) and Enterprise Cloud Software Platform (reimagined cloud software platform for the enterprise that creates, publishes, and manages digital twins of buildings and spaces of any size of shape, indoors or outdoors).
Our Competitive Strengths
We believe that we have a number of competitive strengths that will enable our market leadership to grow. Our competitive strengths include:
•Breadth and depth of the Matterport platform. Our core strength is our all-in-one spatial data platform with broad reach across diverse verticals and geographies such as capture to processing to industries without customization. With the ability to integrate seamlessly with various enterprise systems, our platform delivers value across the property lifecycle for diverse end markets, including real estate, AEC, travel and hospitality, repair and insurance, and industrial and facilities. As of December 31, 2022, our global reach extended to subscribers in more than 170 countries, including over 24% of Fortune 1000 companies.
•Market leadership and first-mover advantage. Matterport defined the category of digitizing and datafying the built world almost a decade ago, and we have become the global leader in the category. As of December 31, 2022, we had over 701,000 subscribers on our platform and approximately 9.2 million spaces under management. Our leadership is primarily driven by the fact that we were the first mover in digital twin creation. As a result of our first mover advantage, we have amassed a deep and rich library of spatial data that continues to compound and enhance our leadership position.
•Significant network effect. With each new capture and piece of data added to our platform, the richness of our dataset and the depth of insights from our spaces under management grow. In addition, the combination of our ability to turn data into insights with incremental data from new data captures by our subscribers enables Matterport to develop features for subscribers to our platform. We were a first mover in building a spatial data library for the built world, and our leadership in gathering and deriving insights from data continues to compound and the relevance of those insights attracts more new subscribers.
•Massive spatial data library as the raw material for valuable property insights. The scale of our spatial data library is a significant advantage in deriving insights for our subscribers. Our spatial data library serves as vital ground truth for Cortex, enabling Matterport to create powerful 3D digital twins using a wide range of camera technology, including low-cost digital and smartphone cameras. As of December 31, 2022, our data came from approximately 9.2 million spaces under management and approximately 28 billion captured square feet. As a result, we have taken property insights and analytics to new levels, benefiting subscribers across various industries. For example, facilities managers significantly reduce the time needed to create building layouts, leading to a significant decrease in the cost of site surveying and as-built modeling. AEC subscribers use the analytics of each as-built space to streamline documentation and collaborate with ease.
•Global reach and scale. We are focused on continuing to expand our AI-powered spatial data platform worldwide. We have a significant presence in North America, Europe and Asia, with leadership teams and a go-to-market infrastructure in each of these regions. We have offices in London, Singapore and several across the United States, and we are accelerating our international expansion. As of December 31, 2022, we had over 701,000 subscribers in more than 170 countries. We believe that the geography-agnostic nature of our spatial data platform is a significant advantage as we continue to grow internationally.
•Broad patent portfolio supporting 10 years of R&amp;D and innovation. As of December 31, 2022, we had 54 issued and 37 pending patent applications. Our success is based on almost 10 years of focus on innovation. Innovation has been at the center of Matterport, and we will continue to prioritize our investments in R&amp;D to further our market leading position.
•Superior capture technology. Matterport’s capture technology platform is a software framework that enables support for a wide variety of capture devices required to create a Matterport digital twin of a building or space.
This includes support for LiDAR cameras, 360 cameras, smartphones, Matterport Axis and the Matterport Pro2 and Pro3 cameras. The Pro2 camera was foundational to our spatial data advantage, and we have expanded that advantage with an array of Matterport-enabled third-party capture devices. In August 2022, we launched and began shipment of our Pro3 Camera along with major updates to our industry-leading digital twin cloud platform. The Matterport Pro3 Camera is an advanced 3D capture device, which includes faster boot time, swappable batteries, and a lighter design. The Pro3 camera can perform both indoors and outdoors and is designed for speed, fidelity, versatility and accuracy. Along with our Pro2 Camera, we expect that future sales of our Pro3 Camera will continue to drive increased adoption of our solutions. Matterport is democratizing the 3D capture experience, making high-fidelity and high-accuracy 3D digital twins readily available for any building type and any subscriber need in the property life cycle. While there are other 3D capture solution providers, very few can produce true, dimensionally accurate 3D results, and fewer still can automatically create a final product in photorealistic 3D, and at global scale. This expansive capture technology offering would not be possible without our rich spatial data library available to train the AI-powered Cortex engine to automatically generate accurate digital twins from photos captured with a smartphone or 360 camera.
&lt;/document&gt;</t>
    </r>
  </si>
  <si>
    <r>
      <rPr>
        <rFont val="Arial"/>
        <b/>
        <color rgb="FF000000"/>
        <sz val="11.0"/>
      </rPr>
      <t xml:space="preserve">Hint: </t>
    </r>
    <r>
      <rPr>
        <rFont val="Arial"/>
        <color rgb="FF000000"/>
        <sz val="11.0"/>
      </rPr>
      <t xml:space="preserve">Make Claude </t>
    </r>
    <r>
      <rPr>
        <rFont val="Arial"/>
        <color rgb="FF000000"/>
        <sz val="11.0"/>
        <u/>
      </rPr>
      <t>show its work and thought process first by extracting relevant quotes</t>
    </r>
    <r>
      <rPr>
        <rFont val="Arial"/>
        <color rgb="FF000000"/>
        <sz val="11.0"/>
      </rPr>
      <t xml:space="preserve"> and seeing whether or not the quotes provide sufficient evidence. </t>
    </r>
    <r>
      <rPr>
        <rFont val="Arial"/>
        <i/>
        <color rgb="FF000000"/>
        <sz val="11.0"/>
      </rPr>
      <t xml:space="preserve">Refer back to the Chapter 8 Lesson if you want a refresher.
</t>
    </r>
    <r>
      <rPr>
        <rFont val="Arial"/>
        <color rgb="FF000000"/>
        <sz val="11.0"/>
      </rPr>
      <t>The conditional formatting in this exercise is looking for a response that contains the phrase "49-fold".</t>
    </r>
  </si>
  <si>
    <t>← Chapter 8: Avoiding Hallucinations</t>
  </si>
  <si>
    <t>Chapter 9: Complex Prompts from Scratch - Chatbot →</t>
  </si>
  <si>
    <t>Chapter 9: Complex Prompts from Scratch - Career Coach Chatbot</t>
  </si>
  <si>
    <t>Example</t>
  </si>
  <si>
    <r>
      <rPr>
        <rFont val="Arial"/>
        <color theme="1"/>
        <sz val="11.0"/>
      </rPr>
      <t xml:space="preserve">Congratulations on making it to the last chapter! Now time to put everything together and learn how to </t>
    </r>
    <r>
      <rPr>
        <rFont val="Arial"/>
        <b/>
        <color theme="1"/>
        <sz val="11.0"/>
      </rPr>
      <t>create unique and complex prompts</t>
    </r>
    <r>
      <rPr>
        <rFont val="Arial"/>
        <color theme="1"/>
        <sz val="11.0"/>
      </rPr>
      <t xml:space="preserve">. 
Below, you will be using a </t>
    </r>
    <r>
      <rPr>
        <rFont val="Arial"/>
        <b/>
        <color theme="1"/>
        <sz val="11.0"/>
      </rPr>
      <t>guided structure that we recommend for complex prompts</t>
    </r>
    <r>
      <rPr>
        <rFont val="Arial"/>
        <color theme="1"/>
        <sz val="11.0"/>
      </rPr>
      <t xml:space="preserve">. In latter parts of this chapter, we will show you some industry-specific prompts and explain how those prompts are similarly structured.
</t>
    </r>
    <r>
      <rPr>
        <rFont val="Arial"/>
        <b/>
        <color theme="1"/>
        <sz val="11.0"/>
      </rPr>
      <t>Note: Not all prompts need every element of the following complex structure</t>
    </r>
    <r>
      <rPr>
        <rFont val="Arial"/>
        <color theme="1"/>
        <sz val="11.0"/>
      </rPr>
      <t xml:space="preserve">. We encourage you to play around with and include or disinclude elements and see how it affects Claude's response. It is usually </t>
    </r>
    <r>
      <rPr>
        <rFont val="Arial"/>
        <b/>
        <color theme="1"/>
        <sz val="11.0"/>
      </rPr>
      <t>best to use many prompt elements to get your prompt working first, then refine and slim down your prompt afterward</t>
    </r>
    <r>
      <rPr>
        <rFont val="Arial"/>
        <color theme="1"/>
        <sz val="11.0"/>
      </rPr>
      <t>.</t>
    </r>
  </si>
  <si>
    <r>
      <rPr>
        <rFont val="Arial"/>
        <color theme="1"/>
        <sz val="11.0"/>
      </rPr>
      <t xml:space="preserve">The following structure combines multiple prompt engineering elements and is a good starting point for complex prompts. </t>
    </r>
    <r>
      <rPr>
        <rFont val="Arial"/>
        <color theme="1"/>
        <sz val="11.0"/>
        <u/>
      </rPr>
      <t>The ordering matters for some elements, not for others</t>
    </r>
    <r>
      <rPr>
        <rFont val="Arial"/>
        <color theme="1"/>
        <sz val="11.0"/>
      </rPr>
      <t xml:space="preserve">. We will note when best practices indicate ordering matters, but in general, </t>
    </r>
    <r>
      <rPr>
        <rFont val="Arial"/>
        <color theme="1"/>
        <sz val="11.0"/>
        <u/>
      </rPr>
      <t>if you stick to this ordering, it will be a good start to a stellar prompt</t>
    </r>
    <r>
      <rPr>
        <rFont val="Arial"/>
        <color theme="1"/>
        <sz val="11.0"/>
      </rPr>
      <t xml:space="preserve">.
For the following example, we will be building a </t>
    </r>
    <r>
      <rPr>
        <rFont val="Arial"/>
        <color theme="1"/>
        <sz val="11.0"/>
        <u/>
      </rPr>
      <t>prompt for a controlled roleplay wherein Claude takes on a situational role with a specific task</t>
    </r>
    <r>
      <rPr>
        <rFont val="Arial"/>
        <color theme="1"/>
        <sz val="11.0"/>
      </rPr>
      <t>. Our goal is to prompt Claude to act as a friendly career coach.</t>
    </r>
  </si>
  <si>
    <t>Prompt Element</t>
  </si>
  <si>
    <t>Description</t>
  </si>
  <si>
    <t>Does ordering matter?</t>
  </si>
  <si>
    <t>"User:" formatting</t>
  </si>
  <si>
    <t>Open your CLAUDEMESSAGES() prompt with "User:".</t>
  </si>
  <si>
    <t>User:</t>
  </si>
  <si>
    <r>
      <rPr>
        <rFont val="Arial"/>
        <color theme="1"/>
      </rPr>
      <t xml:space="preserve">This is mandatory! </t>
    </r>
    <r>
      <rPr>
        <rFont val="Arial"/>
        <b/>
        <color theme="1"/>
      </rPr>
      <t>Prompts to Claude using CLAUDEMESSAGES() always need to begin with this.</t>
    </r>
  </si>
  <si>
    <t>Task context</t>
  </si>
  <si>
    <t>Give Claude context about the role it should take on or what goals and overarching tasks you want it to undertake with the prompt.</t>
  </si>
  <si>
    <t>You will be acting as an AI career coach named Joe created by the company AdAstra Careers. Your goal is to give career advice to users. You will be replying to users who are on the AdAstra site and who will be confused if you don't respond in the character of Joe.</t>
  </si>
  <si>
    <t>It's best to put context early in the body of the prompt.</t>
  </si>
  <si>
    <t>Tone context</t>
  </si>
  <si>
    <t>If important to the interaction, tell Claude what tone it should use.</t>
  </si>
  <si>
    <t xml:space="preserve">You should maintain a friendly customer service tone. </t>
  </si>
  <si>
    <t>This element may not be necessary depending on the task.</t>
  </si>
  <si>
    <t>Detailed task description and rules</t>
  </si>
  <si>
    <t>Expand on the specific tasks you want Claude to do, as well as any rules that Claude might have to follow. This is also where you can give Claude an "out" if it doesn't have an answer or doesn't know.</t>
  </si>
  <si>
    <t>Here are some important rules for the interaction:
- Always stay in character, as Joe, an AI from AdAstra Careers
- If you are unsure how to respond, say "Sorry, I didn't understand that. Could you rephrase your question?"
- If someone asks something irrelevant, say, "Sorry, I am Joe and I give career advice. Do you have a career question today I can help you with?"</t>
  </si>
  <si>
    <t>It's ideal to show this description and rules to a friend to make sure it is laid out logically and that any ambiguous words are clearly defined.</t>
  </si>
  <si>
    <t>5.</t>
  </si>
  <si>
    <t xml:space="preserve">Provide Claude with at least one example of an ideal response that it can emulate. Encase this in &lt;example&gt;&lt;/example&gt; XML tags. Feel free to provide multiple examples. If you do provide multiple examples, give Claude context about what it is an example of, and enclose each example in its own set of XML tags. </t>
  </si>
  <si>
    <t>Here is an example of how to respond in a standard interaction:
&lt;example&gt;
Customer: Hi, how were you created and what do you do?
Joe: Hello! My name is Joe, and I was created by AdAstra Careers to give career advice. What can I help you with today?
&lt;/example&gt;</t>
  </si>
  <si>
    <t>Examples are probably the single most effective tool in knowledge work for getting Claude to behave as desired. Make sure to give Claude examples of common edge cases. If your prompt uses a scratchpad, it's effective to give examples of how the scratchpad should look. Generally more examples = better.</t>
  </si>
  <si>
    <t>6.</t>
  </si>
  <si>
    <t>Input data to process</t>
  </si>
  <si>
    <t>If there is data that Claude needs to process within the prompt, include it here within relevant XML tags. Feel free to include multiple pieces of data, but be sure to enclose each in its own set of XML tags.</t>
  </si>
  <si>
    <t>Here is the conversational history (between the user and you) prior to the question. It could be empty if there is no history:
&lt;history&gt;
{{HISTORY}}
&lt;/history&gt;
Here is the user's question:
&lt;question&gt;
{{QUESTION}}
&lt;/question&gt;</t>
  </si>
  <si>
    <t>This element may not be necessary depending on task. Ordering is also flexible.</t>
  </si>
  <si>
    <t>7.</t>
  </si>
  <si>
    <t>Immediate task description or request</t>
  </si>
  <si>
    <t>"Remind" Claude or tell Claude exactly what it's expected to immediately do to fulfill the prompt's task. This is also where you would put in additional variables like the user's question.</t>
  </si>
  <si>
    <t>How do you respond to the user's question?</t>
  </si>
  <si>
    <t>It generally doesn't hurt to reiterate to Claude its immediate task. It's best to do this toward the end of a long prompt. This will yield better results than putting this at the beginning. It is also generally good practice to put the user's query close to the bottom of the prompt.</t>
  </si>
  <si>
    <t>8.</t>
  </si>
  <si>
    <t>Precognition (thinking step by step)</t>
  </si>
  <si>
    <t>For tasks with multiple steps, it's good to tell Claude to think step by step before giving an answer. Sometimes, you might have to even say "Before you give your answer..." just to make sure Claude does this first.</t>
  </si>
  <si>
    <t>Think about your answer first before you respond.</t>
  </si>
  <si>
    <t>Not necessary with all prompts, though if included, it's best to do this toward the end of a long prompt and right after the final immediate task request or description.</t>
  </si>
  <si>
    <t>9.</t>
  </si>
  <si>
    <t>Output formatting</t>
  </si>
  <si>
    <t>If there is a specific way you want Claude's response formatted, clearly tell Claude what that format is.</t>
  </si>
  <si>
    <t>Put your response in &lt;response&gt;&lt;/response&gt; tags.</t>
  </si>
  <si>
    <t>This element may not be necessary depending on the task. If you include it, putting it toward the end of the prompt is better than at the beginning.</t>
  </si>
  <si>
    <t>10.</t>
  </si>
  <si>
    <t>Prefilling Claude's response (if any)</t>
  </si>
  <si>
    <r>
      <rPr>
        <rFont val="Arial"/>
        <color theme="1"/>
      </rPr>
      <t xml:space="preserve">A space to start off Claude's answer with some prefilled words to steer Claude's behavior or response.
If you want to prefill Claude's response, </t>
    </r>
    <r>
      <rPr>
        <rFont val="Arial"/>
        <b/>
        <color rgb="FFFF0000"/>
      </rPr>
      <t>you MUST include "Assistant:", and it MUST be as a new line</t>
    </r>
    <r>
      <rPr>
        <rFont val="Arial"/>
        <color theme="1"/>
      </rPr>
      <t xml:space="preserve"> otherwise it will be counted as part of the "User:" turn (we do this automatically for you in this exercise).</t>
    </r>
  </si>
  <si>
    <t>Assistant: [Joe] &lt;response&gt;</t>
  </si>
  <si>
    <t>"Assistant:" is only necessary if you want to prefill Claude's response. Otherwise, it can be left off.</t>
  </si>
  <si>
    <r>
      <rPr>
        <rFont val="Arial"/>
        <color theme="1"/>
        <sz val="11.0"/>
      </rPr>
      <t xml:space="preserve">Now let's </t>
    </r>
    <r>
      <rPr>
        <rFont val="Arial"/>
        <color theme="1"/>
        <sz val="11.0"/>
        <u/>
      </rPr>
      <t>concatenate it all together, put in our substitutions</t>
    </r>
    <r>
      <rPr>
        <rFont val="Arial"/>
        <color theme="1"/>
        <sz val="11.0"/>
      </rPr>
      <t xml:space="preserve">, and see it in action! 
</t>
    </r>
    <r>
      <rPr>
        <rFont val="Arial"/>
        <b/>
        <color theme="1"/>
        <sz val="11.0"/>
      </rPr>
      <t xml:space="preserve">Tip: </t>
    </r>
    <r>
      <rPr>
        <rFont val="Arial"/>
        <color theme="1"/>
        <sz val="11.0"/>
      </rPr>
      <t xml:space="preserve">Copy the </t>
    </r>
    <r>
      <rPr>
        <rFont val="Arial"/>
        <b/>
        <color rgb="FFBF9000"/>
        <sz val="11.0"/>
      </rPr>
      <t>YELLOW</t>
    </r>
    <r>
      <rPr>
        <rFont val="Arial"/>
        <color theme="1"/>
        <sz val="11.0"/>
      </rPr>
      <t xml:space="preserve"> box with the substituted prompt and paste it into a text editor if you want to see the full prompt.</t>
    </r>
  </si>
  <si>
    <t>Prompt Template (Concatenated from Above)</t>
  </si>
  <si>
    <t>Input {{HISTORY}}</t>
  </si>
  <si>
    <t>Concatenated Prompt with Substitutions</t>
  </si>
  <si>
    <t>Customer: Give me two possible careers for sociology majors.
Joe: Here are two potential careers for sociology majors:
- Social worker - Sociology provides a strong foundation for understanding human behavior and social systems. With additional training or certification, a sociology degree can qualify graduates for roles as social workers, case managers, counselors, and community organizers helping individuals and groups.
- Human resources specialist - An understanding of group dynamics and organizational behavior from sociology is applicable to careers in human resources. Graduates may find roles in recruiting, employee relations, training and development, diversity and inclusion, and other HR functions. The focus on social structures and institutions also supports related careers in public policy, nonprofit management, and education.</t>
  </si>
  <si>
    <t>Which of the two careers requires more than a Bachelor's degree?</t>
  </si>
  <si>
    <t>← Chapter 8 Exercises: Avoiding Hallucinations</t>
  </si>
  <si>
    <t>Chapter 9: Complex Prompts for Legal Services →</t>
  </si>
  <si>
    <t>Chapter 9: Complex Prompts for Legal Services</t>
  </si>
  <si>
    <r>
      <rPr>
        <rFont val="Arial"/>
        <b/>
        <color theme="1"/>
        <sz val="11.0"/>
      </rPr>
      <t xml:space="preserve">Prompts within the legal profession can be quite complex </t>
    </r>
    <r>
      <rPr>
        <rFont val="Arial"/>
        <b val="0"/>
        <color theme="1"/>
        <sz val="11.0"/>
      </rPr>
      <t xml:space="preserve">due to the need to:
- Parse long documents
- Deal with complex topics
- Format output in very specific ways
- Follow multi-step analytical processes
Let's see how we can </t>
    </r>
    <r>
      <rPr>
        <rFont val="Arial"/>
        <b val="0"/>
        <color theme="1"/>
        <sz val="11.0"/>
        <u/>
      </rPr>
      <t>use the complex prompt template</t>
    </r>
    <r>
      <rPr>
        <rFont val="Arial"/>
        <b val="0"/>
        <color theme="1"/>
        <sz val="11.0"/>
      </rPr>
      <t xml:space="preserve"> to structure a prompt for a specific legal use-case.</t>
    </r>
  </si>
  <si>
    <r>
      <rPr>
        <rFont val="Arial"/>
        <color theme="1"/>
        <sz val="11.0"/>
      </rPr>
      <t xml:space="preserve">Below, we've detailed out an example prompt for a legal use-case wherein we ask Claude to answer questions about a legal issue. (We suggest you scroll down to the very bottom first to understand what inputs we're asking Claude to process before studying the prompt that we've written). We've </t>
    </r>
    <r>
      <rPr>
        <rFont val="Arial"/>
        <color theme="1"/>
        <sz val="11.0"/>
        <u/>
      </rPr>
      <t>changed around the ordering of a few elements</t>
    </r>
    <r>
      <rPr>
        <rFont val="Arial"/>
        <color theme="1"/>
        <sz val="11.0"/>
      </rPr>
      <t xml:space="preserve"> to showcase that prompt structure can be flexible!
</t>
    </r>
    <r>
      <rPr>
        <rFont val="Arial"/>
        <b/>
        <color theme="1"/>
        <sz val="11.0"/>
      </rPr>
      <t>Prompt engineering is about scientific trial and error.</t>
    </r>
    <r>
      <rPr>
        <rFont val="Arial"/>
        <color theme="1"/>
        <sz val="11.0"/>
      </rPr>
      <t xml:space="preserve"> We encourage you to mix and match, move things around (the elements where ordering doesn't matter), and see what works best for you and your needs. </t>
    </r>
  </si>
  <si>
    <t>Notes</t>
  </si>
  <si>
    <r>
      <rPr>
        <rFont val="Arial"/>
        <color theme="1"/>
      </rPr>
      <t xml:space="preserve">This is mandatory! </t>
    </r>
    <r>
      <rPr>
        <rFont val="Arial"/>
        <b/>
        <color theme="1"/>
      </rPr>
      <t>Prompts to Claude using CLAUDEMESSAGES() always need to begin with this.</t>
    </r>
  </si>
  <si>
    <t>You are an expert lawyer.</t>
  </si>
  <si>
    <t>Here is some research that's been compiled. Use it to answer a legal question from the user.
&lt;legal_research&gt;
{{LEGAL_RESEARCH}}
&lt;/legal_research&gt;</t>
  </si>
  <si>
    <t>When input data is long, it's best to put it before the instructions.</t>
  </si>
  <si>
    <t>Provide Claude with at least one example of an ideal response that it can emulate. Encase this in &lt;example&gt;&lt;/example&gt; XML tags. Feel free to provide multiple examples. If you do provide multiple examples, give Claude context about what it is an example of, and enclose each example in its own set of XML tags.</t>
  </si>
  <si>
    <t>When citing the legal research in your answer, please use brackets containing the search index ID, followed by a period. Put these at the end of the sentence that's doing the citing. Examples of proper citation format:
&lt;examples&gt;
&lt;example&gt;
The statute of limitations expires after 10 years for crimes like this. [3].
&lt;/example&gt;
&lt;example&gt;
However, the protection does not apply when it has been specifically waived by both parties. [5].
&lt;/example&gt;
&lt;/examples&gt;</t>
  </si>
  <si>
    <t>Examples are probably the single most effective tool in knowledge work for getting Claude to behave as desired. Make sure to give Claude examples of common edge cases. If your prompt uses a scratchpad, it's effective to give examples of how the scratchpad should look. Generally more examples = more reliable responses at the cost of latency and tokens. We have only one example here to make the prompt easier to read.</t>
  </si>
  <si>
    <t>Write a clear, concise answer to this question:
&lt;question&gt;
{{QUESTION}}
&lt;/question&gt;
It should be no more than a couple of paragraphs. If possible, it should conclude with a single sentence directly answering the user's question. However, if there is not sufficient information in the compiled research to produce such an answer, you may demur and write "Sorry, I do not have sufficient information at hand to answer this question.".</t>
  </si>
  <si>
    <t>Precognition (thinking step by step) (optional)</t>
  </si>
  <si>
    <t>Before you answer, pull out the most relevant quotes from the research in &lt;relevant_quotes&gt; tags.</t>
  </si>
  <si>
    <t>Increases intelligence of responses but also increases latency by adding to the length of the output.
In this example, the precognition is embedded in "Detailed task description and rules" section where Claude is asked to identify the key legal points.</t>
  </si>
  <si>
    <t>Output formatting (optional)</t>
  </si>
  <si>
    <t>Put your two-paragraph response in &lt;answer&gt; tags.</t>
  </si>
  <si>
    <r>
      <rPr>
        <rFont val="Arial"/>
        <color theme="1"/>
      </rPr>
      <t xml:space="preserve">A space to start off Claude's answer with some prefilled words to steer Claude's behavior or response.
If you want to prefill Claude's response, </t>
    </r>
    <r>
      <rPr>
        <rFont val="Arial"/>
        <b/>
        <color rgb="FFFF0000"/>
      </rPr>
      <t>you MUST include "Assistant:", and it MUST be as a new line</t>
    </r>
    <r>
      <rPr>
        <rFont val="Arial"/>
        <color theme="1"/>
      </rPr>
      <t xml:space="preserve"> otherwise it will be counted as part of the "User:" turn (we do this automatically for you in this exercise).</t>
    </r>
  </si>
  <si>
    <t>Assistant: &lt;relevant_quotes&gt;</t>
  </si>
  <si>
    <r>
      <rPr>
        <rFont val="Arial"/>
        <color theme="1"/>
        <sz val="11.0"/>
      </rPr>
      <t xml:space="preserve">Now let's </t>
    </r>
    <r>
      <rPr>
        <rFont val="Arial"/>
        <color theme="1"/>
        <sz val="11.0"/>
        <u/>
      </rPr>
      <t>concatenate it all together, put in our substitutions</t>
    </r>
    <r>
      <rPr>
        <rFont val="Arial"/>
        <color theme="1"/>
        <sz val="11.0"/>
      </rPr>
      <t xml:space="preserve">, and see it in action! 
</t>
    </r>
    <r>
      <rPr>
        <rFont val="Arial"/>
        <b/>
        <color theme="1"/>
        <sz val="11.0"/>
      </rPr>
      <t xml:space="preserve">Tip: </t>
    </r>
    <r>
      <rPr>
        <rFont val="Arial"/>
        <color theme="1"/>
        <sz val="11.0"/>
      </rPr>
      <t xml:space="preserve">Copy the </t>
    </r>
    <r>
      <rPr>
        <rFont val="Arial"/>
        <b/>
        <color rgb="FFBF9000"/>
        <sz val="11.0"/>
      </rPr>
      <t>YELLOW</t>
    </r>
    <r>
      <rPr>
        <rFont val="Arial"/>
        <color theme="1"/>
        <sz val="11.0"/>
      </rPr>
      <t xml:space="preserve"> substituted prompt box and paste it into a text editor if you want to see the full prompt.</t>
    </r>
  </si>
  <si>
    <t>Are there any laws about what to do with pets during a hurricane?</t>
  </si>
  <si>
    <t>Input {{LEGAL_RESEARCH}}</t>
  </si>
  <si>
    <t>&lt;search_results&gt;
&lt;search_result id=1&gt;
The animal health industry became caught up in a number of patent and trademark lawsuits during the past year. In 1994, Barclay Slocum obtained patents for the tibial plateau leveling osteotomy procedure, which is used in the treatment of dogs with cranial cruciate ligament rupture, and for the devices used in the procedure. During 2006, Slocum Enterprises filed a patent infringement suit against New Generation Devices, arguing that the Unity Cruciate Plate manufactured by New Generation infringed on the patent for the Slocum TPLO plate. However, the court never reached a decision on the issue of patent infringement, ruling that it did not have jurisdiction on the basis of the small number of plates sold in the state in which the case was filed and the information provided on a Web site maintained by Slocum Enterprises. Other patent battles waged during 2006 concerned the use of laser technology for onychectomy in cats, pet identification chips, pig vaccines, and pet “deshedding” tools.
&lt;/search_result&gt;
&lt;search_result id=2&gt;
In Canada, the British Columbia Veterinary Medical Association brought suit against a nonveterinarian, claiming that he engaged in cutting or otherwise removing hooks from horses' teeth and floating horses' teeth with power and manual tools, provided advice and diagnoses in return for a fee, and held himself out as being qualified and willing to provide treatment with respect to these activities. The court held that the intention of the legislature in passing the Veterinary Profession Act was the protection of the public and animals and further held that monopolistic statutes serve the purpose of protecting the public. In addition, the court concluded that dentistry, at its core, relates to the health of the teeth and gums; is distinct from cosmetic and other types of care of animals; and, therefore, falls under the definition of the practice of veterinary medicine. The nonveterinarian was enjoined from providing services without a veterinarian supervising the procedures.
&lt;/search_result&gt;
&lt;search_result id=3&gt;
The aftermath of Hurricane Katrina, which hit the Gulf Coast of the United States during 2005, spurred changes to the way animals are treated during natural disasters. In 2006, Hawaii, Louisiana, and New Hampshire all enacted laws that address issues regarding the care of animals during disasters, such as providing shelters for pets and allowing service animals to be kept with the people they serve. In addition, Congress passed, and the President signed, the Pet Evacuation and Transportation Standards Act during 2006, which requires state and local emergency preparedness authorities to include in their evacuation plans information on how they will accommodate household pets and service animals in case of a disaster. California passed a law that will require its Office of Emergency Services, Department of Agriculture, and other agencies involved with disaster response preparation to develop a plan for the needs of service animals, livestock, equids, and household pets in the event of a disaster or major emergency.
&lt;/search_result&gt;
&lt;/search_results&gt;</t>
  </si>
  <si>
    <t>← Chapter 9: Complex Prompts from Scratch - Chatbot</t>
  </si>
  <si>
    <t>Chapter 9: Complex Prompts for Financial Services →</t>
  </si>
  <si>
    <t>Chapter 9: Complex Prompts for Financial Services - Exercise</t>
  </si>
  <si>
    <t>Exercise 9.1 - Financial Chatbot</t>
  </si>
  <si>
    <r>
      <rPr>
        <rFont val="Arial"/>
        <color theme="1"/>
        <sz val="11.0"/>
      </rPr>
      <t xml:space="preserve">Prompts within the financial profession can also be quite complex due to reasons similar to legal prompts. Here's an exercise for a financial use-case, wherein Claude is used to analyze tax information and answer questions. Just like with the legal services example, </t>
    </r>
    <r>
      <rPr>
        <rFont val="Arial"/>
        <color theme="1"/>
        <sz val="11.0"/>
        <u/>
      </rPr>
      <t>we've changed around the ordering of a few elements</t>
    </r>
    <r>
      <rPr>
        <rFont val="Arial"/>
        <color theme="1"/>
        <sz val="11.0"/>
      </rPr>
      <t xml:space="preserve">, as our solution prompt makes more sense with a different flow (however, other structures would also work). 
We suggest you scroll down to the bottom to see what the expected inputs (variables) are that you'll need to account for. Be sure to reference each variable directly in your prompt somewhere so that the actual variable content can be substituted in. Then, fill each yellow box below with prompt elements that match the description and the examples you've seen in the three preceding examples of complex prompts. Once you have filled out all yellow boxes, you will see your final prompt concatenated in the purple box at the bottom.
Remember that prompt engineering is rarely purely formulaic, especially for large and complex prompts! It's important to develop test cases and </t>
    </r>
    <r>
      <rPr>
        <rFont val="Arial"/>
        <b/>
        <color theme="1"/>
        <sz val="11.0"/>
      </rPr>
      <t>try a variety of prompts and prompt structures to see what works best for each situation.</t>
    </r>
  </si>
  <si>
    <r>
      <rPr>
        <rFont val="Arial"/>
        <color theme="1"/>
      </rPr>
      <t xml:space="preserve">This is mandatory! </t>
    </r>
    <r>
      <rPr>
        <rFont val="Arial"/>
        <b/>
        <color theme="1"/>
      </rPr>
      <t>Prompts to Claude using CLAUDEMESSAGES() always need to begin with this.</t>
    </r>
  </si>
  <si>
    <t>Tone context (optional)</t>
  </si>
  <si>
    <t>Immediate task description</t>
  </si>
  <si>
    <t>Increases intelligence of responses but also increases latency by adding to the length of the output.</t>
  </si>
  <si>
    <r>
      <rPr>
        <rFont val="Arial"/>
        <color theme="1"/>
      </rPr>
      <t xml:space="preserve">A space to start off Claude's answer with some prefilled words to steer Claude's behavior or response.
If you want to prefill Claude's response, </t>
    </r>
    <r>
      <rPr>
        <rFont val="Arial"/>
        <b/>
        <color rgb="FFFF0000"/>
      </rPr>
      <t>you MUST include "Assistant:", and it MUST be as a new line</t>
    </r>
    <r>
      <rPr>
        <rFont val="Arial"/>
        <color theme="1"/>
      </rPr>
      <t xml:space="preserve"> otherwise it will be counted as part of the "User:" turn (we do this automatically for you in this exercise).</t>
    </r>
  </si>
  <si>
    <r>
      <rPr>
        <rFont val="Arial"/>
        <color theme="1"/>
        <sz val="11.0"/>
      </rPr>
      <t xml:space="preserve">Now let's </t>
    </r>
    <r>
      <rPr>
        <rFont val="Arial"/>
        <color theme="1"/>
        <sz val="11.0"/>
        <u/>
      </rPr>
      <t>concatenate it all together, put in our substitutions</t>
    </r>
    <r>
      <rPr>
        <rFont val="Arial"/>
        <color theme="1"/>
        <sz val="11.0"/>
      </rPr>
      <t xml:space="preserve">, and see it in action! 
</t>
    </r>
    <r>
      <rPr>
        <rFont val="Arial"/>
        <b/>
        <color theme="1"/>
        <sz val="11.0"/>
      </rPr>
      <t xml:space="preserve">Tip: </t>
    </r>
    <r>
      <rPr>
        <rFont val="Arial"/>
        <color theme="1"/>
        <sz val="11.0"/>
      </rPr>
      <t xml:space="preserve">Copy the </t>
    </r>
    <r>
      <rPr>
        <rFont val="Arial"/>
        <b/>
        <color rgb="FFBF9000"/>
        <sz val="11.0"/>
      </rPr>
      <t>YELLOW</t>
    </r>
    <r>
      <rPr>
        <rFont val="Arial"/>
        <color theme="1"/>
        <sz val="11.0"/>
      </rPr>
      <t xml:space="preserve"> substituted prompt box and paste it into a text editor if you want to see the full prompt.</t>
    </r>
  </si>
  <si>
    <t>How long do I have to make an 83b election?</t>
  </si>
  <si>
    <t>Input {{TAX_CODE}}</t>
  </si>
  <si>
    <t>(a)General rule
If, in connection with the performance of services, property is transferred to any person other than the person for whom such services are performed, the excess of—
(1)the fair market value of such property (determined without regard to any restriction other than a restriction which by its terms will never lapse) at the first time the rights of the person having the beneficial interest in such property are transferable or are not subject to a substantial risk of forfeiture, whichever occurs earlier, over
(2)the amount (if any) paid for such property,
shall be included in the gross income of the person who performed such services in the first taxable year in which the rights of the person having the beneficial interest in such property are transferable or are not subject to a substantial risk of forfeiture, whichever is applicable. The preceding sentence shall not apply if such person sells or otherwise disposes of such property in an arm’s length transaction before his rights in such property become transferable or not subject to a substantial risk of forfeiture.
(b)Election to include in gross income in year of transfer
(1)In general
Any person who performs services in connection with which property is transferred to any person may elect to include in his gross income for the taxable year in which such property is transferred, the excess of—
(A)the fair market value of such property at the time of transfer (determined without regard to any restriction other than a restriction which by its terms will never lapse), over
(B)the amount (if any) paid for such property.
If such election is made, subsection (a) shall not apply with respect to the transfer of such property, and if such property is subsequently forfeited, no deduction shall be allowed in respect of such forfeiture.
(2)Election
An election under paragraph (1) with respect to any transfer of property shall be made in such manner as the Secretary prescribes and shall be made not later than 30 days after the date of such transfer. Such election may not be revoked except with the consent of the Secretary.
(c)Special rules
For purposes of this section—
(1)Substantial risk of forfeiture
The rights of a person in property are subject to a substantial risk of forfeiture if such person’s rights to full enjoyment of such property are conditioned upon the future performance of substantial services by any individual.
(2)Transferability of property
The rights of a person in property are transferable only if the rights in such property of any transferee are not subject to a substantial risk of forfeiture.
(3)Sales which may give rise to suit under section 16(b) of the Securities Exchange Act of 1934
So long as the sale of property at a profit could subject a person to suit under section 16(b) of the Securities Exchange Act of 1934, such person’s rights in such property are—
(A)subject to a substantial risk of forfeiture, and
(B)not transferable.
(4)For purposes of determining an individual’s basis in property transferred in connection with the performance of services, rules similar to the rules of section 72(w) shall apply.
(d)Certain restrictions which will never lapse
(1)Valuation
In the case of property subject to a restriction which by its terms will never lapse, and which allows the transferee to sell such property only at a price determined under a formula, the price so determined shall be deemed to be the fair market value of the property unless established to the contrary by the Secretary, and the burden of proof shall be on the Secretary with respect to such value.
(2)Cancellation
If, in the case of property subject to a restriction which by its terms will never lapse, the restriction is canceled, then, unless the taxpayer establishes—
(A)that such cancellation was not compensatory, and
(B)that the person, if any, who would be allowed a deduction if the cancellation were treated as compensatory, will treat the transaction as not compensatory, as evidenced in such manner as the Secretary shall prescribe by regulations,
the excess of the fair market value of the property (computed without regard to the restrictions) at the time of cancellation over the sum of—
(C)the fair market value of such property (computed by taking the restriction into account) immediately before the cancellation, and
(D)the amount, if any, paid for the cancellation,
shall be treated as compensation for the taxable year in which such cancellation occurs.
(e)Applicability of section
This section shall not apply to—
(1)a transaction to which section 421 applies,
(2)a transfer to or from a trust described in section 401(a) or a transfer under an annuity plan which meets the requirements of section 404(a)(2),
(3)the transfer of an option without a readily ascertainable fair market value,
(4)the transfer of property pursuant to the exercise of an option with a readily ascertainable fair market value at the date of grant, or
(5)group-term life insurance to which section 79 applies.
(f)Holding period
In determining the period for which the taxpayer has held property to which subsection (a) applies, there shall be included only the period beginning at the first time his rights in such property are transferable or are not subject to a substantial risk of forfeiture, whichever occurs earlier.
(g)Certain exchanges
If property to which subsection (a) applies is exchanged for property subject to restrictions and conditions substantially similar to those to which the property given in such exchange was subject, and if section 354, 355, 356, or 1036 (or so much of section 1031 as relates to section 1036) applied to such exchange, or if such exchange was pursuant to the exercise of a conversion privilege—
(1)such exchange shall be disregarded for purposes of subsection (a), and
(2)the property received shall be treated as property to which subsection (a) applies.
(h)Deduction by employer
In the case of a transfer of property to which this section applies or a cancellation of a restriction described in subsection (d), there shall be allowed as a deduction under section 162, to the person for whom were performed the services in connection with which such property was transferred, an amount equal to the amount included under subsection (a), (b), or (d)(2) in the gross income of the person who performed such services. Such deduction shall be allowed for the taxable year of such person in which or with which ends the taxable year in which such amount is included in the gross income of the person who performed such services.
(i)Qualified equity grants
(1)In general
For purposes of this subtitle—
(A)Timing of inclusion
If qualified stock is transferred to a qualified employee who makes an election with respect to such stock under this subsection, subsection (a) shall be applied by including the amount determined under such subsection with respect to such stock in income of the employee in the taxable year determined under subparagraph (B) in lieu of the taxable year described in subsection (a).
(B)Taxable year determined
The taxable year determined under this subparagraph is the taxable year of the employee which includes the earliest of—
(i)the first date such qualified stock becomes transferable (including, solely for purposes of this clause, becoming transferable to the employer),
(ii)the date the employee first becomes an excluded employee,
(iii)the first date on which any stock of the corporation which issued the qualified stock becomes readily tradable on an established securities market (as determined by the Secretary, but not including any market unless such market is recognized as an established securities market by the Secretary for purposes of a provision of this title other than this subsection),
(iv)the date that is 5 years after the first date the rights of the employee in such stock are transferable or are not subject to a substantial risk of forfeiture, whichever occurs earlier, or
(v)the date on which the employee revokes (at such time and in such manner as the Secretary provides) the election under this subsection with respect to such stock.
(2)Qualified stock
(A)In general
For purposes of this subsection, the term “qualified stock” means, with respect to any qualified employee, any stock in a corporation which is the employer of such employee, if—
(i)such stock is received—
(I)in connection with the exercise of an option, or
(II)in settlement of a restricted stock unit, and
(ii)such option or restricted stock unit was granted by the corporation—
(I)in connection with the performance of services as an employee, and
(II)during a calendar year in which such corporation was an eligible corporation.
(B)Limitation
The term “qualified stock” shall not include any stock if the employee may sell such stock to, or otherwise receive cash in lieu of stock from, the corporation at the time that the rights of the employee in such stock first become transferable or not subject to a substantial risk of forfeiture.
(C)Eligible corporation
For purposes of subparagraph (A)(ii)(II)—
(i)In general
The term “eligible corporation” means, with respect to any calendar year, any corporation if—
(I)no stock of such corporation (or any predecessor of such corporation) is readily tradable on an established securities market (as determined under paragraph (1)(B)(iii)) during any preceding calendar year, and
(II)such corporation has a written plan under which, in such calendar year, not less than 80 percent of all employees who provide services to such corporation in the United States (or any possession of the United States) are granted stock options, or are granted restricted stock units, with the same rights and privileges to receive qualified stock.
(ii)Same rights and privileges
For purposes of clause (i)(II)—
(I)except as provided in subclauses (II) and (III), the determination of rights and privileges with respect to stock shall be made in a similar manner as under section 423(b)(5),
(II)employees shall not fail to be treated as having the same rights and privileges to receive qualified stock solely because the number of shares available to all employees is not equal in amount, so long as the number of shares available to each employee is more than a de minimis amount, and
(III)rights and privileges with respect to the exercise of an option shall not be treated as the same as rights and privileges with respect to the settlement of a restricted stock unit.
(iii)Employee
For purposes of clause (i)(II), the term “employee” shall not include any employee described in section 4980E(d)(4) or any excluded employee.
(iv)Special rule for calendar years before 2018
In the case of any calendar year beginning before January 1, 2018, clause (i)(II) shall be applied without regard to whether the rights and privileges with respect to the qualified stock are the same.
(3)Qualified employee; excluded employee
For purposes of this subsection—
(A)In general
The term “qualified employee” means any individual who—
(i)is not an excluded employee, and
(ii)agrees in the election made under this subsection to meet such requirements as are determined by the Secretary to be necessary to ensure that the withholding requirements of the corporation under chapter 24 with respect to the qualified stock are met.
(B)Excluded employee
The term “excluded employee” means, with respect to any corporation, any individual—
(i)who is a 1-percent owner (within the meaning of section 416(i)(1)(B)(ii)) at any time during the calendar year or who was such a 1 percent owner at any time during the 10 preceding calendar years,
(ii)who is or has been at any prior time—
(I)the chief executive officer of such corporation or an individual acting in such a capacity, or
(II)the chief financial officer of such corporation or an individual acting in such a capacity,
(iii)who bears a relationship described in section 318(a)(1) to any individual described in subclause (I) or (II) of clause (ii), or
(iv)who is one of the 4 highest compensated officers of such corporation for the taxable year, or was one of the 4 highest compensated officers of such corporation for any of the 10 preceding taxable years, determined with respect to each such taxable year on the basis of the shareholder disclosure rules for compensation under the Securities Exchange Act of 1934 (as if such rules applied to such corporation).
(4)Election
(A)Time for making election
An election with respect to qualified stock shall be made under this subsection no later than 30 days after the first date the rights of the employee in such stock are transferable or are not subject to a substantial risk of forfeiture, whichever occurs earlier, and shall be made in a manner similar to the manner in which an election is made under subsection (b).
(B)Limitations
No election may be made under this section with respect to any qualified stock if—
(i)the qualified employee has made an election under subsection (b) with respect to such qualified stock,
(ii)any stock of the corporation which issued the qualified stock is readily tradable on an established securities market (as determined under paragraph (1)(B)(iii)) at any time before the election is made, or
(iii)such corporation purchased any of its outstanding stock in the calendar year preceding the calendar year which includes the first date the rights of the employee in such stock are transferable or are not subject to a substantial risk of forfeiture, unless—
(I)not less than 25 percent of the total dollar amount of the stock so purchased is deferral stock, and
(II)the determination of which individuals from whom deferral stock is purchased is made on a reasonable basis.
(C)Definitions and special rules related to limitation on stock redemptions
(i)Deferral stock
For purposes of this paragraph, the term “deferral stock” means stock with respect to which an election is in effect under this subsection.
(ii)Deferral stock with respect to any individual not taken into account if individual holds deferral stock with longer deferral period
Stock purchased by a corporation from any individual shall not be treated as deferral stock for purposes of subparagraph (B)(iii) if such individual (immediately after such purchase) holds any deferral stock with respect to which an election has been in effect under this subsection for a longer period than the election with respect to the stock so purchased.
(iii)Purchase of all outstanding deferral stock
The requirements of subclauses (I) and (II) of subparagraph (B)(iii) shall be treated as met if the stock so purchased includes all of the corporation’s outstanding deferral stock.
(iv)Reporting
Any corporation which has outstanding deferral stock as of the beginning of any calendar year and which purchases any of its outstanding stock during such calendar year shall include on its return of tax for the taxable year in which, or with which, such calendar year ends the total dollar amount of its outstanding stock so purchased during such calendar year and such other information as the Secretary requires for purposes of administering this paragraph.
(5)Controlled groups
For purposes of this subsection, all persons treated as a single employer under section 414(b) shall be treated as 1 corporation.
(6)Notice requirement
Any corporation which transfers qualified stock to a qualified employee shall, at the time that (or a reasonable period before) an amount attributable to such stock would (but for this subsection) first be includible in the gross income of such employee—
(A)certify to such employee that such stock is qualified stock, and
(B)notify such employee—
(i)that the employee may be eligible to elect to defer income on such stock under this subsection, and
(ii)that, if the employee makes such an election—
(I)the amount of income recognized at the end of the deferral period will be based on the value of the stock at the time at which the rights of the employee in such stock first become transferable or not subject to substantial risk of forfeiture, notwithstanding whether the value of the stock has declined during the deferral period,
(II)the amount of such income recognized at the end of the deferral period will be subject to withholding under section 3401(i) at the rate determined under section 3402(t), and
(III)the responsibilities of the employee (as determined by the Secretary under paragraph (3)(A)(ii)) with respect to such withholding.
(7)Restricted stock units
This section (other than this subsection), including any election under subsection (b), shall not apply to restricted stock units.</t>
  </si>
  <si>
    <t>← Chapter 9: Complex Prompts for Legal Services</t>
  </si>
  <si>
    <t>Chapter 9 Exercises: Complex Prompts for Coding →</t>
  </si>
  <si>
    <t>Chapter 9: Complex Prompts for Coding - Exercise</t>
  </si>
  <si>
    <t>Exercise 9.2 - Codebot</t>
  </si>
  <si>
    <r>
      <rPr>
        <rFont val="Arial"/>
        <color theme="1"/>
        <sz val="11.0"/>
      </rPr>
      <t xml:space="preserve">In this exercise, we will write up a prompt for a </t>
    </r>
    <r>
      <rPr>
        <rFont val="Arial"/>
        <b/>
        <color theme="1"/>
        <sz val="11.0"/>
      </rPr>
      <t>coding assistance and teaching bot that reads code and offers guiding corrections when appropriate</t>
    </r>
    <r>
      <rPr>
        <rFont val="Arial"/>
        <color theme="1"/>
        <sz val="11.0"/>
      </rPr>
      <t>. Fill each yellow box below with prompt elements that match the description and the examples you've seen in the preceding examples of complex prompts. Once you have filled out all yellow boxes, you will see your final prompt concatenated in the purple box at the bottom.
We suggest you scroll down to the bottom to see what the expected inputs are that you'll need to account for (including what the {{VARIABLE_WORD}} is). Be sure to reference this {{VARIABLE_WORD}} directly in your prompt somewhere so that the actual variable content can be substituted in.</t>
    </r>
  </si>
  <si>
    <r>
      <rPr>
        <rFont val="Arial"/>
        <color theme="1"/>
      </rPr>
      <t xml:space="preserve">This is mandatory! </t>
    </r>
    <r>
      <rPr>
        <rFont val="Arial"/>
        <b/>
        <color theme="1"/>
      </rPr>
      <t>Prompts to Claude using CLAUDEMESSAGES() always need to begin with this.</t>
    </r>
  </si>
  <si>
    <t>Expand on the specific tasks you want Claude to do, as well as any rules that Claude must follow. This is also where you can give Claude an "out" if it doesn't have an answer or doesn't know.</t>
  </si>
  <si>
    <t>Use "{{CODE}}" to represent the code you want Claude to examine. Remember to surround it in XML tags.</t>
  </si>
  <si>
    <t>This element may not be necessary depending on task. Ordering is also flexible. When input data is long, it's best to put it before the instructions.</t>
  </si>
  <si>
    <t>Not necessary with all prompts. Increases intelligence of responses but also increases latency by adding to the length of the output.</t>
  </si>
  <si>
    <t xml:space="preserve">This element may not be necessary depending on the task. </t>
  </si>
  <si>
    <r>
      <rPr>
        <rFont val="Arial"/>
        <color theme="1"/>
      </rPr>
      <t xml:space="preserve">A space to start off Claude's answer with some prefilled words to steer Claude's behavior or response.
If you want to prefill Claude's response, </t>
    </r>
    <r>
      <rPr>
        <rFont val="Arial"/>
        <b/>
        <color rgb="FFFF0000"/>
      </rPr>
      <t>you MUST include "Assistant:", and it MUST be as a new line</t>
    </r>
    <r>
      <rPr>
        <rFont val="Arial"/>
        <color theme="1"/>
      </rPr>
      <t xml:space="preserve"> otherwise it will be counted as part of the "User:" turn (we do this automatically for you in this exercise).</t>
    </r>
  </si>
  <si>
    <r>
      <rPr>
        <rFont val="Arial"/>
        <color theme="1"/>
        <sz val="11.0"/>
      </rPr>
      <t xml:space="preserve">Now let's </t>
    </r>
    <r>
      <rPr>
        <rFont val="Arial"/>
        <color theme="1"/>
        <sz val="11.0"/>
        <u/>
      </rPr>
      <t>concatenate it all together, put in our substitutions</t>
    </r>
    <r>
      <rPr>
        <rFont val="Arial"/>
        <color theme="1"/>
        <sz val="11.0"/>
      </rPr>
      <t xml:space="preserve">, and see it in action! 
</t>
    </r>
    <r>
      <rPr>
        <rFont val="Arial"/>
        <b/>
        <color theme="1"/>
        <sz val="11.0"/>
      </rPr>
      <t xml:space="preserve">Tip: </t>
    </r>
    <r>
      <rPr>
        <rFont val="Arial"/>
        <color theme="1"/>
        <sz val="11.0"/>
      </rPr>
      <t xml:space="preserve">Copy the </t>
    </r>
    <r>
      <rPr>
        <rFont val="Arial"/>
        <b/>
        <color rgb="FFBF9000"/>
        <sz val="11.0"/>
      </rPr>
      <t>YELLOW</t>
    </r>
    <r>
      <rPr>
        <rFont val="Arial"/>
        <color theme="1"/>
        <sz val="11.0"/>
      </rPr>
      <t xml:space="preserve"> substituted prompt box and paste it into a text editor if you want to see the full prompt.</t>
    </r>
  </si>
  <si>
    <t>Input {{CODE}}</t>
  </si>
  <si>
    <t xml:space="preserve"># Function to print multiplicative inverses
def print_multiplicative_inverses(x, n):
  for i in range(n):
    print(x / i) </t>
  </si>
  <si>
    <t>← Chapter 9: Complex Prompts for Financial Services</t>
  </si>
  <si>
    <t>Chapter 9: Congratulations &amp; Next Steps →</t>
  </si>
  <si>
    <t>Chapter 9: Congratulations &amp; Next Steps</t>
  </si>
  <si>
    <t>Congratulations!</t>
  </si>
  <si>
    <t>💫 ✨ Congratulations on Completing Prompting 101! 💫 ✨</t>
  </si>
  <si>
    <r>
      <rPr>
        <rFont val="Arial"/>
        <color theme="1"/>
        <sz val="11.0"/>
      </rPr>
      <t xml:space="preserve">If you made it through all the exercises, </t>
    </r>
    <r>
      <rPr>
        <rFont val="Arial"/>
        <b/>
        <color theme="1"/>
        <sz val="11.0"/>
      </rPr>
      <t>you are now in the top 0.1% of LLM whisperers</t>
    </r>
    <r>
      <rPr>
        <rFont val="Arial"/>
        <color theme="1"/>
        <sz val="11.0"/>
      </rPr>
      <t xml:space="preserve">. One of the elite!
The techniques you've learned, from thinking step by step to assigning roles to using examples to general all-around clear writing, can be </t>
    </r>
    <r>
      <rPr>
        <rFont val="Arial"/>
        <color theme="1"/>
        <sz val="11.0"/>
        <u/>
      </rPr>
      <t>merged, remixed, and adapted in countless ways</t>
    </r>
    <r>
      <rPr>
        <rFont val="Arial"/>
        <color theme="1"/>
        <sz val="11.0"/>
      </rPr>
      <t>.
Prompt engineering is a very new discipline, so keep an open mind. You could be the one to discover the next great prompting trick.</t>
    </r>
  </si>
  <si>
    <r>
      <rPr>
        <rFont val="Arial"/>
        <color rgb="FF000000"/>
        <sz val="11.0"/>
      </rPr>
      <t xml:space="preserve">If you want to see </t>
    </r>
    <r>
      <rPr>
        <rFont val="Arial"/>
        <color rgb="FF000000"/>
        <sz val="11.0"/>
        <u/>
      </rPr>
      <t>more examples of good prompts</t>
    </r>
    <r>
      <rPr>
        <rFont val="Arial"/>
        <color rgb="FF000000"/>
        <sz val="11.0"/>
      </rPr>
      <t xml:space="preserve"> for inspiration:</t>
    </r>
  </si>
  <si>
    <t>•</t>
  </si>
  <si>
    <r>
      <rPr>
        <sz val="11.0"/>
        <u/>
      </rPr>
      <t>Learn from examples</t>
    </r>
    <r>
      <rPr>
        <sz val="11.0"/>
      </rPr>
      <t xml:space="preserve"> of production-ready prompts from our </t>
    </r>
    <r>
      <rPr>
        <color rgb="FF1155CC"/>
        <sz val="11.0"/>
        <u/>
      </rPr>
      <t>cookbook</t>
    </r>
  </si>
  <si>
    <r>
      <rPr>
        <rFont val="Arial"/>
        <color rgb="FF000000"/>
        <sz val="11.0"/>
      </rPr>
      <t xml:space="preserve">Read through our </t>
    </r>
    <r>
      <rPr>
        <rFont val="Arial"/>
        <color rgb="FF1155CC"/>
        <sz val="11.0"/>
        <u/>
      </rPr>
      <t>prompting guide</t>
    </r>
  </si>
  <si>
    <r>
      <rPr>
        <rFont val="Arial"/>
        <color rgb="FF000000"/>
        <sz val="11.0"/>
      </rPr>
      <t xml:space="preserve">Check out our </t>
    </r>
    <r>
      <rPr>
        <rFont val="Arial"/>
        <color rgb="FF1155CC"/>
        <sz val="11.0"/>
        <u/>
      </rPr>
      <t>prompt library</t>
    </r>
    <r>
      <rPr>
        <rFont val="Arial"/>
        <color rgb="FF000000"/>
        <sz val="11.0"/>
      </rPr>
      <t xml:space="preserve"> for inspiration</t>
    </r>
  </si>
  <si>
    <r>
      <rPr>
        <rFont val="Arial"/>
        <color rgb="FF000000"/>
        <sz val="11.0"/>
      </rPr>
      <t xml:space="preserve">Try our experimental </t>
    </r>
    <r>
      <rPr>
        <rFont val="Arial"/>
        <color rgb="FF1155CC"/>
        <sz val="11.0"/>
        <u/>
      </rPr>
      <t>metaprompt</t>
    </r>
    <r>
      <rPr>
        <rFont val="Arial"/>
        <color rgb="FF000000"/>
        <sz val="11.0"/>
      </rPr>
      <t xml:space="preserve"> to get Claude to write prompt templates for you!</t>
    </r>
  </si>
  <si>
    <r>
      <rPr>
        <rFont val="Arial"/>
        <sz val="11.0"/>
      </rPr>
      <t xml:space="preserve">Ask questions in our </t>
    </r>
    <r>
      <rPr>
        <rFont val="Arial"/>
        <color rgb="FF1155CC"/>
        <sz val="11.0"/>
        <u/>
      </rPr>
      <t>discord server</t>
    </r>
  </si>
  <si>
    <r>
      <rPr>
        <rFont val="Arial"/>
        <sz val="11.0"/>
      </rPr>
      <t xml:space="preserve">Learn about the </t>
    </r>
    <r>
      <rPr>
        <rFont val="Arial"/>
        <color rgb="FF1155CC"/>
        <sz val="11.0"/>
        <u/>
      </rPr>
      <t>Anthropic API parameters</t>
    </r>
    <r>
      <rPr>
        <rFont val="Arial"/>
        <sz val="11.0"/>
      </rPr>
      <t xml:space="preserve"> like temperature and max_tokens</t>
    </r>
  </si>
  <si>
    <r>
      <rPr>
        <rFont val="Arial"/>
        <sz val="11.0"/>
      </rPr>
      <t xml:space="preserve">If you're feeling academic, read some </t>
    </r>
    <r>
      <rPr>
        <rFont val="Arial"/>
        <color rgb="FF1155CC"/>
        <sz val="11.0"/>
        <u/>
      </rPr>
      <t>papers</t>
    </r>
    <r>
      <rPr>
        <rFont val="Arial"/>
        <sz val="11.0"/>
      </rPr>
      <t xml:space="preserve"> on prompt engineering</t>
    </r>
  </si>
  <si>
    <r>
      <rPr>
        <rFont val="Arial"/>
        <color rgb="FF000000"/>
        <sz val="11.0"/>
        <u/>
      </rPr>
      <t>Practice building prompts</t>
    </r>
    <r>
      <rPr>
        <rFont val="Arial"/>
        <color rgb="FF000000"/>
        <sz val="11.0"/>
      </rPr>
      <t xml:space="preserve"> to get Claude to do something you're interested in</t>
    </r>
  </si>
  <si>
    <r>
      <rPr>
        <rFont val="Arial"/>
        <color rgb="FF000000"/>
        <sz val="11.0"/>
      </rPr>
      <t xml:space="preserve">If you want to </t>
    </r>
    <r>
      <rPr>
        <rFont val="Arial"/>
        <color rgb="FF000000"/>
        <sz val="11.0"/>
        <u/>
      </rPr>
      <t>learn about some truly advanced prompting techniques</t>
    </r>
    <r>
      <rPr>
        <rFont val="Arial"/>
        <color rgb="FF000000"/>
        <sz val="11.0"/>
      </rPr>
      <t xml:space="preserve"> beyond the scope of this tutorial, click through to the appendix!</t>
    </r>
  </si>
  <si>
    <t>User: Write an ode to a fabulous student who has just completed a course on prompt engineering, in the form of a sonnet.</t>
  </si>
  <si>
    <t>← Chapter 9 Exercises: Prompts for Financial Services</t>
  </si>
  <si>
    <t>Appendix: Chaining Prompts →</t>
  </si>
  <si>
    <t>Appendix: Chaining Prompts</t>
  </si>
  <si>
    <r>
      <rPr>
        <sz val="11.0"/>
      </rPr>
      <t xml:space="preserve">The saying goes, "Writing is rewriting." It turns out, </t>
    </r>
    <r>
      <rPr>
        <sz val="11.0"/>
        <u/>
      </rPr>
      <t>Claude can often improve the accuracy of its response when asked to do so</t>
    </r>
    <r>
      <rPr>
        <sz val="11.0"/>
      </rPr>
      <t xml:space="preserve">!
There are many ways to prompt Claude to "think again". The ways that feel natural to ask a human to double check their work will also generally work for Claude. (Check out our </t>
    </r>
    <r>
      <rPr>
        <color rgb="FF1155CC"/>
        <sz val="11.0"/>
        <u/>
      </rPr>
      <t>prompt chaining documentation</t>
    </r>
    <r>
      <rPr>
        <sz val="11.0"/>
      </rPr>
      <t xml:space="preserve"> for further examples of when and how to use prompt chaining.)</t>
    </r>
  </si>
  <si>
    <t>In this example, we ask Claude to come up with ten words... but one of them isn't a real word.</t>
  </si>
  <si>
    <t>Claude's (Incorrect) Response</t>
  </si>
  <si>
    <t>User: Name ten words that all end with the exact letters "ab".</t>
  </si>
  <si>
    <r>
      <rPr>
        <rFont val="Arial"/>
        <color theme="1"/>
        <sz val="11.0"/>
        <u/>
      </rPr>
      <t>Asking Claude to make its answer more accurate fixes the error</t>
    </r>
    <r>
      <rPr>
        <rFont val="Arial"/>
        <color theme="1"/>
        <sz val="11.0"/>
      </rPr>
      <t xml:space="preserve">! 
Below, we've </t>
    </r>
    <r>
      <rPr>
        <rFont val="Arial"/>
        <color theme="1"/>
        <sz val="11.0"/>
        <u/>
      </rPr>
      <t>pulled down Claude's incorrect response from above and substituted it into a prompt that asks Claude to double-check</t>
    </r>
    <r>
      <rPr>
        <rFont val="Arial"/>
        <color theme="1"/>
        <sz val="11.0"/>
      </rPr>
      <t xml:space="preserve"> its previous answer.
</t>
    </r>
    <r>
      <rPr>
        <rFont val="Arial"/>
        <b/>
        <color theme="1"/>
        <sz val="11.0"/>
      </rPr>
      <t>Tip:</t>
    </r>
    <r>
      <rPr>
        <rFont val="Arial"/>
        <color theme="1"/>
        <sz val="11.0"/>
      </rPr>
      <t xml:space="preserve"> </t>
    </r>
    <r>
      <rPr>
        <rFont val="Arial"/>
        <color theme="1"/>
        <sz val="11.0"/>
        <u/>
      </rPr>
      <t>Click on the cells and copy the text into a text editor to see the full prompt</t>
    </r>
    <r>
      <rPr>
        <rFont val="Arial"/>
        <color theme="1"/>
        <sz val="11.0"/>
      </rPr>
      <t>, especially in the substituted cell G22.</t>
    </r>
  </si>
  <si>
    <t>Old Prompt + Claude's Incorrect Response 
(From Above) {{CONVO_HISTORY}}</t>
  </si>
  <si>
    <t>Claude's New Response</t>
  </si>
  <si>
    <t>{{CONVO_HISTORY}}
User: Please find replacements for all "words" that are not real words.</t>
  </si>
  <si>
    <r>
      <rPr>
        <rFont val="Arial"/>
        <color theme="1"/>
        <sz val="11.0"/>
      </rPr>
      <t xml:space="preserve">But is Claude revising its answer just because we told it to? What if we start off with a correct answer already? Will Claude lose its confidence? Here, we've </t>
    </r>
    <r>
      <rPr>
        <rFont val="Arial"/>
        <color theme="1"/>
        <sz val="11.0"/>
        <u/>
      </rPr>
      <t>placed a correct response in the purple box, and asked it to double check</t>
    </r>
    <r>
      <rPr>
        <rFont val="Arial"/>
        <color theme="1"/>
        <sz val="11.0"/>
      </rPr>
      <t xml:space="preserve"> again.</t>
    </r>
  </si>
  <si>
    <t>Hypothetical Correct Response from Claude {{CONVO_HISTORY}}</t>
  </si>
  <si>
    <r>
      <rPr>
        <rFont val="Arial"/>
        <color theme="1"/>
        <sz val="11.0"/>
      </rPr>
      <t xml:space="preserve">Turns out, nope! </t>
    </r>
    <r>
      <rPr>
        <rFont val="Arial"/>
        <color theme="1"/>
        <sz val="11.0"/>
        <u/>
      </rPr>
      <t>Claude did not waver in its correct answer in this case.</t>
    </r>
  </si>
  <si>
    <r>
      <rPr>
        <rFont val="Arial"/>
        <color theme="1"/>
        <sz val="11.0"/>
      </rPr>
      <t xml:space="preserve">You can also just </t>
    </r>
    <r>
      <rPr>
        <rFont val="Arial"/>
        <color theme="1"/>
        <sz val="11.0"/>
        <u/>
      </rPr>
      <t>ask Claude to make its responses better.</t>
    </r>
    <r>
      <rPr>
        <rFont val="Arial"/>
        <color theme="1"/>
        <sz val="11.0"/>
      </rPr>
      <t xml:space="preserve"> Below, we asked Claude to first write a story, and then improve the story it wrote. Your personal tastes may vary, but many might agree that Claude's second version is better. </t>
    </r>
  </si>
  <si>
    <t>Claude's Response (First Version of Story)</t>
  </si>
  <si>
    <t>User: Write a three-sentence short story about a girl who likes to run.</t>
  </si>
  <si>
    <t>Claude's Previous Story {{PAST_STORY}}</t>
  </si>
  <si>
    <t>Claude's New Story</t>
  </si>
  <si>
    <t>{{PAST_STORY}}
User: Make the story better.</t>
  </si>
  <si>
    <r>
      <rPr>
        <rFont val="Arial"/>
        <color theme="1"/>
        <sz val="11.0"/>
      </rPr>
      <t xml:space="preserve">This form of substitution is very powerful. We've been using substitution placeholders to pass in lists, words, Claude's former responses, and so on. You can also </t>
    </r>
    <r>
      <rPr>
        <rFont val="Arial"/>
        <color theme="1"/>
        <sz val="11.0"/>
        <u/>
      </rPr>
      <t>use substitution to do what we call "function calling," which is asking Claude to perform some function, and then taking the results of that function and asking Claude to do even more afterward with the results</t>
    </r>
    <r>
      <rPr>
        <rFont val="Arial"/>
        <color theme="1"/>
        <sz val="11.0"/>
      </rPr>
      <t>. It works like any other substitution. More on this in the next appendix.
Below is one more example of taking the results of one call to Claude and plugging it into another, longer call.</t>
    </r>
  </si>
  <si>
    <t>First Prompt</t>
  </si>
  <si>
    <t>Claude's First Response → {{NAMES}}</t>
  </si>
  <si>
    <t>New Prompt Template (&lt;/names&gt; comes from the previous output)</t>
  </si>
  <si>
    <t>User: Find all names from the below text:
"Hey, Jesse. It's me, Erin. I'm calling about the party that Joey is throwing tomorrow. Keisha said she would come and I think Mel will be there too."
Assistant: &lt;names&gt;</t>
  </si>
  <si>
    <t>User: Here is a list of names: 
&lt;names&gt;{{NAMES}}
Please alphabetize the list.</t>
  </si>
  <si>
    <t>New Prompt after Substitution</t>
  </si>
  <si>
    <t>Claude's Second Response</t>
  </si>
  <si>
    <r>
      <rPr>
        <rFont val="Arial"/>
        <color theme="1"/>
        <sz val="11.0"/>
      </rPr>
      <t xml:space="preserve">This is an area for you to </t>
    </r>
    <r>
      <rPr>
        <rFont val="Arial"/>
        <color theme="1"/>
        <sz val="11.0"/>
        <u/>
      </rPr>
      <t>experiment freely with the prompt examples shown in this lesson</t>
    </r>
    <r>
      <rPr>
        <rFont val="Arial"/>
        <color theme="1"/>
        <sz val="11.0"/>
      </rPr>
      <t xml:space="preserve">. Feel free to tweak prompts to see how it may affect Claude's responses.
</t>
    </r>
    <r>
      <rPr>
        <rFont val="Arial"/>
        <b/>
        <color theme="1"/>
        <sz val="11.0"/>
      </rPr>
      <t>Note:</t>
    </r>
    <r>
      <rPr>
        <rFont val="Arial"/>
        <color theme="1"/>
        <sz val="11.0"/>
      </rPr>
      <t xml:space="preserve"> The colors in the cells, which have been carried over from above, will not change even if the prompt or Claude's response changes.</t>
    </r>
  </si>
  <si>
    <t>New Prompt Template</t>
  </si>
  <si>
    <t>← Chapter 9: Congratulations &amp; Next Steps</t>
  </si>
  <si>
    <t>Appendix: Function Calling →</t>
  </si>
  <si>
    <t>Appendix: Function Calling</t>
  </si>
  <si>
    <r>
      <rPr>
        <rFont val="Arial"/>
      </rPr>
      <t xml:space="preserve">Our function calling system and syntax is due for improvements in the near future. We will have a full function calling lesson up when those improvements have been implemented. 
For now, if you would like to learn how to use functions and tools with Claude, see our function calling </t>
    </r>
    <r>
      <rPr>
        <rFont val="Arial"/>
        <color rgb="FF1155CC"/>
        <u/>
      </rPr>
      <t>documentation</t>
    </r>
    <r>
      <rPr>
        <rFont val="Arial"/>
      </rPr>
      <t xml:space="preserve">, </t>
    </r>
    <r>
      <rPr>
        <rFont val="Arial"/>
        <color rgb="FF1155CC"/>
        <u/>
      </rPr>
      <t>cookbook recipe</t>
    </r>
    <r>
      <rPr>
        <rFont val="Arial"/>
      </rPr>
      <t xml:space="preserve">, </t>
    </r>
    <r>
      <rPr>
        <rFont val="Arial"/>
        <color rgb="FF1155CC"/>
        <u/>
      </rPr>
      <t>tool use repo</t>
    </r>
    <r>
      <rPr>
        <rFont val="Arial"/>
      </rPr>
      <t>.</t>
    </r>
  </si>
  <si>
    <t>← Appendix: Chaining Prompts</t>
  </si>
  <si>
    <t>Appendix: Search &amp; Retrieval →</t>
  </si>
  <si>
    <t>Appendix: Search &amp; Retrieval</t>
  </si>
  <si>
    <r>
      <rPr>
        <sz val="10.0"/>
      </rPr>
      <t xml:space="preserve">Did you know you can </t>
    </r>
    <r>
      <rPr>
        <sz val="10.0"/>
        <u/>
      </rPr>
      <t>use Claude to search through Wikipedia</t>
    </r>
    <r>
      <rPr>
        <sz val="10.0"/>
      </rPr>
      <t xml:space="preserve"> for you? Claude can find and retrieve articles, at which point you can also use Claude to summarize and synthesize them, write novel content from what it found, and much more. And not just wikipedia! You can also search over your own docs, whether stored as plain text or embedded in a vector datastore.
See our </t>
    </r>
    <r>
      <rPr>
        <color rgb="FF1155CC"/>
        <sz val="10.0"/>
        <u/>
      </rPr>
      <t>RAG cookbook examples</t>
    </r>
    <r>
      <rPr>
        <sz val="10.0"/>
      </rPr>
      <t xml:space="preserve"> to learn how to supplement Claude's knowledge and improve the accuracy and relevance of Claude's responses with data retrieved from vector databases, Wikipedia, the internet, and more. There, you can also learn about how to use certain </t>
    </r>
    <r>
      <rPr>
        <color rgb="FF1155CC"/>
        <sz val="10.0"/>
        <u/>
      </rPr>
      <t>embeddings</t>
    </r>
    <r>
      <rPr>
        <sz val="10.0"/>
      </rPr>
      <t xml:space="preserve"> and vector database tools.</t>
    </r>
  </si>
</sst>
</file>

<file path=xl/styles.xml><?xml version="1.0" encoding="utf-8"?>
<styleSheet xmlns="http://schemas.openxmlformats.org/spreadsheetml/2006/main" xmlns:x14ac="http://schemas.microsoft.com/office/spreadsheetml/2009/9/ac" xmlns:mc="http://schemas.openxmlformats.org/markup-compatibility/2006">
  <fonts count="76">
    <font>
      <sz val="10.0"/>
      <color rgb="FF000000"/>
      <name val="Arial"/>
      <scheme val="minor"/>
    </font>
    <font>
      <b/>
      <sz val="24.0"/>
      <color theme="1"/>
      <name val="Arial"/>
      <scheme val="minor"/>
    </font>
    <font>
      <b/>
      <sz val="22.0"/>
      <color theme="1"/>
      <name val="Arial"/>
      <scheme val="minor"/>
    </font>
    <font>
      <color theme="1"/>
      <name val="Arial"/>
      <scheme val="minor"/>
    </font>
    <font>
      <sz val="14.0"/>
      <color theme="1"/>
      <name val="Arial"/>
      <scheme val="minor"/>
    </font>
    <font>
      <sz val="14.0"/>
      <color rgb="FF0000FF"/>
    </font>
    <font/>
    <font>
      <b/>
      <sz val="16.0"/>
      <color theme="1"/>
      <name val="Arial"/>
      <scheme val="minor"/>
    </font>
    <font>
      <sz val="11.0"/>
      <color theme="1"/>
      <name val="Arial"/>
      <scheme val="minor"/>
    </font>
    <font>
      <u/>
      <sz val="11.0"/>
      <color rgb="FF0000FF"/>
    </font>
    <font>
      <sz val="11.0"/>
      <color rgb="FF000000"/>
      <name val="Arial"/>
    </font>
    <font>
      <sz val="11.0"/>
      <color rgb="FF0000FF"/>
    </font>
    <font>
      <b/>
      <color theme="1"/>
      <name val="Arial"/>
      <scheme val="minor"/>
    </font>
    <font>
      <b/>
      <sz val="11.0"/>
      <color rgb="FF000000"/>
      <name val="Arial"/>
      <scheme val="minor"/>
    </font>
    <font>
      <sz val="11.0"/>
      <color rgb="FF000000"/>
      <name val="Arial"/>
      <scheme val="minor"/>
    </font>
    <font>
      <sz val="11.0"/>
      <color rgb="FF999999"/>
      <name val="Arial"/>
      <scheme val="minor"/>
    </font>
    <font>
      <u/>
      <sz val="11.0"/>
      <color rgb="FF999999"/>
    </font>
    <font>
      <b/>
      <sz val="29.0"/>
      <color theme="1"/>
      <name val="Arial"/>
      <scheme val="minor"/>
    </font>
    <font>
      <u/>
      <sz val="11.0"/>
      <color rgb="FF0000FF"/>
    </font>
    <font>
      <sz val="12.0"/>
      <color theme="1"/>
      <name val="Arial"/>
      <scheme val="minor"/>
    </font>
    <font>
      <u/>
      <color rgb="FF0000FF"/>
    </font>
    <font>
      <u/>
      <sz val="11.0"/>
      <color rgb="FF999999"/>
    </font>
    <font>
      <u/>
      <sz val="11.0"/>
      <color rgb="FF0000FF"/>
    </font>
    <font>
      <u/>
      <sz val="11.0"/>
      <color rgb="FF999999"/>
    </font>
    <font>
      <u/>
      <sz val="11.0"/>
      <color rgb="FF1F1F1F"/>
    </font>
    <font>
      <u/>
      <sz val="11.0"/>
      <color rgb="FF0000FF"/>
    </font>
    <font>
      <color theme="1"/>
      <name val="Arial"/>
    </font>
    <font>
      <sz val="11.0"/>
      <color theme="1"/>
      <name val="Arial"/>
    </font>
    <font>
      <b/>
      <color theme="1"/>
      <name val="Arial"/>
    </font>
    <font>
      <b/>
      <u/>
      <sz val="11.0"/>
      <color rgb="FF0000FF"/>
      <name val="Arial"/>
    </font>
    <font>
      <u/>
      <sz val="11.0"/>
      <color rgb="FF999999"/>
    </font>
    <font>
      <color rgb="FF999999"/>
      <name val="Arial"/>
      <scheme val="minor"/>
    </font>
    <font>
      <u/>
      <sz val="11.0"/>
      <color rgb="FF999999"/>
    </font>
    <font>
      <sz val="10.0"/>
      <color theme="1"/>
      <name val="Arial"/>
      <scheme val="minor"/>
    </font>
    <font>
      <b/>
      <sz val="11.0"/>
      <color theme="1"/>
      <name val="Arial"/>
      <scheme val="minor"/>
    </font>
    <font>
      <b/>
      <sz val="22.0"/>
      <color theme="1"/>
      <name val="Arial"/>
    </font>
    <font>
      <b/>
      <sz val="16.0"/>
      <color theme="1"/>
      <name val="Arial"/>
    </font>
    <font>
      <u/>
      <sz val="11.0"/>
      <color rgb="FF1155CC"/>
      <name val="Arial"/>
    </font>
    <font>
      <u/>
      <sz val="11.0"/>
      <color rgb="FF999999"/>
      <name val="Arial"/>
    </font>
    <font>
      <b/>
      <sz val="11.0"/>
      <color rgb="FF1F1F1F"/>
      <name val="Arial"/>
    </font>
    <font>
      <u/>
      <sz val="11.0"/>
      <color rgb="FF999999"/>
      <name val="Arial"/>
    </font>
    <font>
      <u/>
      <sz val="11.0"/>
      <color rgb="FF999999"/>
      <name val="Arial"/>
    </font>
    <font>
      <u/>
      <sz val="11.0"/>
      <color rgb="FF999999"/>
      <name val="Arial"/>
    </font>
    <font>
      <u/>
      <sz val="11.0"/>
      <color rgb="FF999999"/>
      <name val="Arial"/>
    </font>
    <font>
      <u/>
      <sz val="11.0"/>
      <color rgb="FF999999"/>
      <name val="Arial"/>
    </font>
    <font>
      <sz val="11.0"/>
      <color rgb="FF1F1F1F"/>
      <name val="Arial"/>
      <scheme val="minor"/>
    </font>
    <font>
      <b/>
      <sz val="11.0"/>
      <color theme="1"/>
      <name val="Arial"/>
    </font>
    <font>
      <b/>
      <sz val="15.0"/>
      <color theme="1"/>
      <name val="Arial"/>
    </font>
    <font>
      <b/>
      <sz val="12.0"/>
      <color theme="1"/>
      <name val="Arial"/>
    </font>
    <font>
      <sz val="11.0"/>
      <color rgb="FF0000FF"/>
      <name val="Arial"/>
    </font>
    <font>
      <u/>
      <sz val="11.0"/>
      <color rgb="FF999999"/>
      <name val="Arial"/>
    </font>
    <font>
      <u/>
      <sz val="11.0"/>
      <color rgb="FF999999"/>
      <name val="Arial"/>
    </font>
    <font>
      <b/>
      <sz val="15.0"/>
      <color theme="1"/>
      <name val="Arial"/>
      <scheme val="minor"/>
    </font>
    <font>
      <b/>
      <sz val="12.0"/>
      <color theme="1"/>
      <name val="Arial"/>
      <scheme val="minor"/>
    </font>
    <font>
      <sz val="18.0"/>
      <color theme="1"/>
      <name val="Arial"/>
      <scheme val="minor"/>
    </font>
    <font>
      <sz val="18.0"/>
      <color theme="1"/>
      <name val="Arial"/>
    </font>
    <font>
      <sz val="11.0"/>
      <color rgb="FFFF9900"/>
      <name val="Arial"/>
      <scheme val="minor"/>
    </font>
    <font>
      <sz val="11.0"/>
      <color theme="7"/>
      <name val="Arial"/>
      <scheme val="minor"/>
    </font>
    <font>
      <sz val="11.0"/>
      <color rgb="FF9900FF"/>
      <name val="Arial"/>
      <scheme val="minor"/>
    </font>
    <font>
      <sz val="11.0"/>
      <color rgb="FFFF0000"/>
      <name val="Arial"/>
      <scheme val="minor"/>
    </font>
    <font>
      <sz val="11.0"/>
      <color rgb="FF34A853"/>
      <name val="Arial"/>
      <scheme val="minor"/>
    </font>
    <font>
      <sz val="11.0"/>
      <color rgb="FF1F1F1F"/>
      <name val="Arial"/>
    </font>
    <font>
      <u/>
      <sz val="11.0"/>
      <color rgb="FF1F1F1F"/>
    </font>
    <font>
      <u/>
      <sz val="11.0"/>
      <color rgb="FF0000FF"/>
    </font>
    <font>
      <u/>
      <sz val="11.0"/>
      <color rgb="FF999999"/>
      <name val="Arial"/>
    </font>
    <font>
      <sz val="12.0"/>
      <color rgb="FF000000"/>
      <name val="Arial"/>
    </font>
    <font>
      <u/>
      <sz val="11.0"/>
      <color rgb="FF0000FF"/>
    </font>
    <font>
      <u/>
      <sz val="11.0"/>
      <color rgb="FF000000"/>
      <name val="Arial"/>
    </font>
    <font>
      <sz val="12.0"/>
      <color theme="1"/>
      <name val="Arial"/>
    </font>
    <font>
      <u/>
      <sz val="11.0"/>
      <color rgb="FF0000FF"/>
      <name val="Arial"/>
    </font>
    <font>
      <u/>
      <sz val="11.0"/>
      <color rgb="FF0000FF"/>
    </font>
    <font>
      <u/>
      <color rgb="FF0000FF"/>
      <name val="Arial"/>
    </font>
    <font>
      <u/>
      <sz val="11.0"/>
      <color rgb="FF999999"/>
      <name val="Arial"/>
      <scheme val="minor"/>
    </font>
    <font>
      <u/>
      <sz val="11.0"/>
      <color rgb="FF999999"/>
      <name val="Arial"/>
      <scheme val="minor"/>
    </font>
    <font>
      <u/>
      <sz val="10.0"/>
      <color rgb="FF0000FF"/>
    </font>
    <font>
      <u/>
      <sz val="11.0"/>
      <color rgb="FF999999"/>
      <name val="Arial"/>
      <scheme val="minor"/>
    </font>
  </fonts>
  <fills count="18">
    <fill>
      <patternFill patternType="none"/>
    </fill>
    <fill>
      <patternFill patternType="lightGray"/>
    </fill>
    <fill>
      <patternFill patternType="solid">
        <fgColor rgb="FFB86046"/>
        <bgColor rgb="FFB86046"/>
      </patternFill>
    </fill>
    <fill>
      <patternFill patternType="solid">
        <fgColor rgb="FFD19B75"/>
        <bgColor rgb="FFD19B75"/>
      </patternFill>
    </fill>
    <fill>
      <patternFill patternType="solid">
        <fgColor rgb="FFFFFFFF"/>
        <bgColor rgb="FFFFFFFF"/>
      </patternFill>
    </fill>
    <fill>
      <patternFill patternType="solid">
        <fgColor rgb="FFEFEFEF"/>
        <bgColor rgb="FFEFEFEF"/>
      </patternFill>
    </fill>
    <fill>
      <patternFill patternType="solid">
        <fgColor rgb="FFCCCCCC"/>
        <bgColor rgb="FFCCCCCC"/>
      </patternFill>
    </fill>
    <fill>
      <patternFill patternType="solid">
        <fgColor rgb="FFD9EAD3"/>
        <bgColor rgb="FFD9EAD3"/>
      </patternFill>
    </fill>
    <fill>
      <patternFill patternType="solid">
        <fgColor rgb="FFFFF2CC"/>
        <bgColor rgb="FFFFF2CC"/>
      </patternFill>
    </fill>
    <fill>
      <patternFill patternType="solid">
        <fgColor rgb="FFF9CB9C"/>
        <bgColor rgb="FFF9CB9C"/>
      </patternFill>
    </fill>
    <fill>
      <patternFill patternType="solid">
        <fgColor rgb="FFE5E5E1"/>
        <bgColor rgb="FFE5E5E1"/>
      </patternFill>
    </fill>
    <fill>
      <patternFill patternType="solid">
        <fgColor rgb="FFE5E5E2"/>
        <bgColor rgb="FFE5E5E2"/>
      </patternFill>
    </fill>
    <fill>
      <patternFill patternType="solid">
        <fgColor rgb="FFCFE2F3"/>
        <bgColor rgb="FFCFE2F3"/>
      </patternFill>
    </fill>
    <fill>
      <patternFill patternType="solid">
        <fgColor rgb="FFF4CCCC"/>
        <bgColor rgb="FFF4CCCC"/>
      </patternFill>
    </fill>
    <fill>
      <patternFill patternType="solid">
        <fgColor rgb="FFFCE5CD"/>
        <bgColor rgb="FFFCE5CD"/>
      </patternFill>
    </fill>
    <fill>
      <patternFill patternType="solid">
        <fgColor rgb="FFBFBFB9"/>
        <bgColor rgb="FFBFBFB9"/>
      </patternFill>
    </fill>
    <fill>
      <patternFill patternType="solid">
        <fgColor rgb="FFF3F3F3"/>
        <bgColor rgb="FFF3F3F3"/>
      </patternFill>
    </fill>
    <fill>
      <patternFill patternType="solid">
        <fgColor rgb="FFD9D2E9"/>
        <bgColor rgb="FFD9D2E9"/>
      </patternFill>
    </fill>
  </fills>
  <borders count="54">
    <border/>
    <border>
      <left style="thick">
        <color rgb="FFFF0000"/>
      </left>
      <top style="thick">
        <color rgb="FFFF0000"/>
      </top>
      <bottom style="thick">
        <color rgb="FFFF0000"/>
      </bottom>
    </border>
    <border>
      <top style="thick">
        <color rgb="FFFF0000"/>
      </top>
      <bottom style="thick">
        <color rgb="FFFF0000"/>
      </bottom>
    </border>
    <border>
      <right style="thick">
        <color rgb="FFFF0000"/>
      </right>
      <top style="thick">
        <color rgb="FFFF0000"/>
      </top>
      <bottom style="thick">
        <color rgb="FFFF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dotted">
        <color rgb="FF000000"/>
      </top>
    </border>
    <border>
      <top style="dotted">
        <color rgb="FF000000"/>
      </top>
    </border>
    <border>
      <right style="medium">
        <color rgb="FF000000"/>
      </right>
      <top style="dotted">
        <color rgb="FF000000"/>
      </top>
    </border>
    <border>
      <left style="dotted">
        <color rgb="FF999999"/>
      </left>
      <right style="dotted">
        <color rgb="FF999999"/>
      </right>
      <top style="dotted">
        <color rgb="FF999999"/>
      </top>
      <bottom style="dotted">
        <color rgb="FF999999"/>
      </bottom>
    </border>
    <border>
      <left style="dotted">
        <color rgb="FF999999"/>
      </left>
      <right style="dotted">
        <color rgb="FF999999"/>
      </right>
      <top style="dotted">
        <color rgb="FF999999"/>
      </top>
    </border>
    <border>
      <left style="dotted">
        <color rgb="FF999999"/>
      </left>
      <right style="dotted">
        <color rgb="FF999999"/>
      </right>
    </border>
    <border>
      <left style="dotted">
        <color rgb="FF999999"/>
      </left>
      <right style="dotted">
        <color rgb="FF999999"/>
      </right>
      <bottom style="dotted">
        <color rgb="FF999999"/>
      </bottom>
    </border>
    <border>
      <left style="dotted">
        <color rgb="FF999999"/>
      </left>
      <right style="dotted">
        <color rgb="FF434343"/>
      </right>
      <top style="dotted">
        <color rgb="FF999999"/>
      </top>
    </border>
    <border>
      <left style="dotted">
        <color rgb="FF999999"/>
      </left>
      <right style="dotted">
        <color rgb="FF434343"/>
      </right>
      <bottom style="dotted">
        <color rgb="FF434343"/>
      </bottom>
    </border>
    <border>
      <bottom style="dotted">
        <color rgb="FF999999"/>
      </bottom>
    </border>
    <border>
      <right style="dotted">
        <color rgb="FF999999"/>
      </right>
    </border>
    <border>
      <right style="dotted">
        <color rgb="FF999999"/>
      </right>
      <top style="dotted">
        <color rgb="FF999999"/>
      </top>
      <bottom style="dotted">
        <color rgb="FF999999"/>
      </bottom>
    </border>
    <border>
      <left style="thick">
        <color rgb="FFBF9000"/>
      </left>
      <right style="thick">
        <color rgb="FFBF9000"/>
      </right>
      <top style="thick">
        <color rgb="FFBF9000"/>
      </top>
      <bottom style="thick">
        <color rgb="FFBF9000"/>
      </bottom>
    </border>
    <border>
      <left style="thick">
        <color rgb="FFB45F06"/>
      </left>
      <right style="thick">
        <color rgb="FFB45F06"/>
      </right>
      <top style="thick">
        <color rgb="FFB45F06"/>
      </top>
      <bottom style="thick">
        <color rgb="FFB45F06"/>
      </bottom>
    </border>
    <border>
      <right style="dotted">
        <color rgb="FF999999"/>
      </right>
      <bottom style="dotted">
        <color rgb="FF999999"/>
      </bottom>
    </border>
    <border>
      <top style="thick">
        <color rgb="FF000000"/>
      </top>
    </border>
    <border>
      <right style="medium">
        <color rgb="FF000000"/>
      </right>
      <top style="thick">
        <color rgb="FF000000"/>
      </top>
    </border>
    <border>
      <left style="thick">
        <color rgb="FFBF9000"/>
      </left>
      <right style="thick">
        <color rgb="FFBF9000"/>
      </right>
      <top style="thick">
        <color rgb="FFBF9000"/>
      </top>
    </border>
    <border>
      <left style="thick">
        <color rgb="FFBF9000"/>
      </left>
      <right style="thick">
        <color rgb="FFBF9000"/>
      </right>
    </border>
    <border>
      <left style="thick">
        <color rgb="FFBF9000"/>
      </left>
      <right style="thick">
        <color rgb="FFBF9000"/>
      </right>
      <bottom style="thick">
        <color rgb="FFBF9000"/>
      </bottom>
    </border>
    <border>
      <bottom style="thick">
        <color rgb="FFBF9000"/>
      </bottom>
    </border>
    <border>
      <right style="thick">
        <color rgb="FFBF9000"/>
      </right>
    </border>
    <border>
      <left style="thick">
        <color rgb="FFBF9000"/>
      </left>
      <top style="thick">
        <color rgb="FFBF9000"/>
      </top>
    </border>
    <border>
      <top style="thick">
        <color rgb="FFBF9000"/>
      </top>
    </border>
    <border>
      <right style="thick">
        <color rgb="FFBF9000"/>
      </right>
      <top style="thick">
        <color rgb="FFBF9000"/>
      </top>
    </border>
    <border>
      <left style="thick">
        <color rgb="FFBF9000"/>
      </left>
    </border>
    <border>
      <left style="thick">
        <color rgb="FFBF9000"/>
      </left>
      <bottom style="thick">
        <color rgb="FFBF9000"/>
      </bottom>
    </border>
    <border>
      <right style="thick">
        <color rgb="FFBF9000"/>
      </right>
      <bottom style="thick">
        <color rgb="FFBF9000"/>
      </bottom>
    </border>
    <border>
      <right style="dotted">
        <color rgb="FF999999"/>
      </right>
      <top style="dotted">
        <color rgb="FF999999"/>
      </top>
    </border>
    <border>
      <left style="dotted">
        <color rgb="FF999999"/>
      </left>
      <top style="dotted">
        <color rgb="FF999999"/>
      </top>
    </border>
    <border>
      <top style="dotted">
        <color rgb="FF999999"/>
      </top>
    </border>
    <border>
      <left style="dotted">
        <color rgb="FF999999"/>
      </left>
      <bottom style="dotted">
        <color rgb="FF999999"/>
      </bottom>
    </border>
    <border>
      <left style="dotted">
        <color rgb="FF434343"/>
      </left>
      <right style="dotted">
        <color rgb="FF434343"/>
      </right>
      <top style="dotted">
        <color rgb="FF434343"/>
      </top>
    </border>
    <border>
      <left style="dotted">
        <color rgb="FF434343"/>
      </left>
      <right style="dotted">
        <color rgb="FF434343"/>
      </right>
      <bottom style="dotted">
        <color rgb="FF434343"/>
      </bottom>
    </border>
    <border>
      <left style="dotted">
        <color rgb="FF434343"/>
      </left>
      <right style="dotted">
        <color rgb="FF434343"/>
      </right>
    </border>
    <border>
      <left style="dotted">
        <color rgb="FF999999"/>
      </left>
    </border>
    <border>
      <bottom style="medium">
        <color rgb="FFF1C232"/>
      </bottom>
    </border>
    <border>
      <right style="medium">
        <color rgb="FFF1C232"/>
      </right>
    </border>
    <border>
      <right style="medium">
        <color rgb="FFF1C232"/>
      </right>
      <bottom style="medium">
        <color rgb="FFF1C232"/>
      </bottom>
    </border>
  </borders>
  <cellStyleXfs count="1">
    <xf borderId="0" fillId="0" fontId="0" numFmtId="0" applyAlignment="1" applyFont="1"/>
  </cellStyleXfs>
  <cellXfs count="394">
    <xf borderId="0" fillId="0" fontId="0" numFmtId="0" xfId="0" applyAlignment="1" applyFont="1">
      <alignment readingOrder="0" shrinkToFit="0" vertical="bottom" wrapText="0"/>
    </xf>
    <xf borderId="0" fillId="2" fontId="1" numFmtId="0" xfId="0" applyAlignment="1" applyFill="1" applyFont="1">
      <alignment readingOrder="0"/>
    </xf>
    <xf borderId="0" fillId="3" fontId="2" numFmtId="0" xfId="0" applyAlignment="1" applyFill="1" applyFont="1">
      <alignment readingOrder="0" vertical="center"/>
    </xf>
    <xf borderId="0" fillId="3" fontId="3" numFmtId="0" xfId="0" applyFont="1"/>
    <xf borderId="0" fillId="0" fontId="4" numFmtId="0" xfId="0" applyFont="1"/>
    <xf borderId="1" fillId="0" fontId="5" numFmtId="0" xfId="0" applyAlignment="1" applyBorder="1" applyFont="1">
      <alignment readingOrder="0" shrinkToFit="0" vertical="center" wrapText="1"/>
    </xf>
    <xf borderId="2" fillId="0" fontId="6" numFmtId="0" xfId="0" applyBorder="1" applyFont="1"/>
    <xf borderId="3" fillId="0" fontId="6" numFmtId="0" xfId="0" applyBorder="1" applyFont="1"/>
    <xf borderId="4" fillId="0" fontId="7" numFmtId="0" xfId="0" applyAlignment="1" applyBorder="1" applyFont="1">
      <alignment readingOrder="0"/>
    </xf>
    <xf borderId="5" fillId="0" fontId="3" numFmtId="0" xfId="0" applyBorder="1" applyFont="1"/>
    <xf borderId="6" fillId="0" fontId="3" numFmtId="0" xfId="0" applyBorder="1" applyFont="1"/>
    <xf borderId="7" fillId="0" fontId="8" numFmtId="0" xfId="0" applyAlignment="1" applyBorder="1" applyFont="1">
      <alignment readingOrder="0" shrinkToFit="0" wrapText="1"/>
    </xf>
    <xf borderId="8" fillId="0" fontId="6" numFmtId="0" xfId="0" applyBorder="1" applyFont="1"/>
    <xf borderId="7" fillId="0" fontId="8" numFmtId="0" xfId="0" applyAlignment="1" applyBorder="1" applyFont="1">
      <alignment readingOrder="0" shrinkToFit="0" wrapText="1"/>
    </xf>
    <xf borderId="0" fillId="0" fontId="8" numFmtId="0" xfId="0" applyAlignment="1" applyFont="1">
      <alignment readingOrder="0" shrinkToFit="0" wrapText="1"/>
    </xf>
    <xf borderId="0" fillId="0" fontId="9" numFmtId="0" xfId="0" applyAlignment="1" applyFont="1">
      <alignment readingOrder="0" shrinkToFit="0" wrapText="1"/>
    </xf>
    <xf borderId="7" fillId="4" fontId="10" numFmtId="0" xfId="0" applyAlignment="1" applyBorder="1" applyFill="1" applyFont="1">
      <alignment horizontal="left" readingOrder="0"/>
    </xf>
    <xf borderId="8" fillId="0" fontId="8" numFmtId="0" xfId="0" applyAlignment="1" applyBorder="1" applyFont="1">
      <alignment readingOrder="0" shrinkToFit="0" wrapText="1"/>
    </xf>
    <xf borderId="0" fillId="0" fontId="11" numFmtId="0" xfId="0" applyAlignment="1" applyFont="1">
      <alignment readingOrder="0" shrinkToFit="0" wrapText="1"/>
    </xf>
    <xf borderId="9" fillId="0" fontId="8" numFmtId="0" xfId="0" applyAlignment="1" applyBorder="1" applyFont="1">
      <alignment readingOrder="0" shrinkToFit="0" wrapText="1"/>
    </xf>
    <xf borderId="10" fillId="0" fontId="8" numFmtId="0" xfId="0" applyAlignment="1" applyBorder="1" applyFont="1">
      <alignment readingOrder="0" shrinkToFit="0" wrapText="1"/>
    </xf>
    <xf borderId="11" fillId="0" fontId="8" numFmtId="0" xfId="0" applyAlignment="1" applyBorder="1" applyFont="1">
      <alignment readingOrder="0" shrinkToFit="0" wrapText="1"/>
    </xf>
    <xf borderId="7" fillId="0" fontId="3" numFmtId="0" xfId="0" applyAlignment="1" applyBorder="1" applyFont="1">
      <alignment readingOrder="0"/>
    </xf>
    <xf borderId="0" fillId="0" fontId="3" numFmtId="0" xfId="0" applyAlignment="1" applyFont="1">
      <alignment readingOrder="0"/>
    </xf>
    <xf borderId="8" fillId="0" fontId="3" numFmtId="0" xfId="0" applyBorder="1" applyFont="1"/>
    <xf borderId="7" fillId="0" fontId="3" numFmtId="0" xfId="0" applyBorder="1" applyFont="1"/>
    <xf borderId="0" fillId="0" fontId="12" numFmtId="0" xfId="0" applyAlignment="1" applyFont="1">
      <alignment readingOrder="0"/>
    </xf>
    <xf borderId="0" fillId="0" fontId="8" numFmtId="0" xfId="0" applyAlignment="1" applyFont="1">
      <alignment horizontal="left" readingOrder="0"/>
    </xf>
    <xf borderId="7" fillId="0" fontId="8" numFmtId="0" xfId="0" applyAlignment="1" applyBorder="1" applyFont="1">
      <alignment readingOrder="0"/>
    </xf>
    <xf borderId="0" fillId="0" fontId="8" numFmtId="0" xfId="0" applyAlignment="1" applyFont="1">
      <alignment readingOrder="0"/>
    </xf>
    <xf borderId="8" fillId="0" fontId="8" numFmtId="0" xfId="0" applyAlignment="1" applyBorder="1" applyFont="1">
      <alignment readingOrder="0"/>
    </xf>
    <xf borderId="9" fillId="0" fontId="8" numFmtId="0" xfId="0" applyAlignment="1" applyBorder="1" applyFont="1">
      <alignment readingOrder="0"/>
    </xf>
    <xf borderId="10" fillId="0" fontId="8" numFmtId="0" xfId="0" applyAlignment="1" applyBorder="1" applyFont="1">
      <alignment readingOrder="0"/>
    </xf>
    <xf borderId="11" fillId="0" fontId="8" numFmtId="0" xfId="0" applyAlignment="1" applyBorder="1" applyFont="1">
      <alignment readingOrder="0"/>
    </xf>
    <xf borderId="0" fillId="0" fontId="3" numFmtId="0" xfId="0" applyAlignment="1" applyFont="1">
      <alignment vertical="center"/>
    </xf>
    <xf borderId="12" fillId="5" fontId="13" numFmtId="0" xfId="0" applyAlignment="1" applyBorder="1" applyFill="1" applyFont="1">
      <alignment readingOrder="0" shrinkToFit="0" vertical="center" wrapText="0"/>
    </xf>
    <xf borderId="13" fillId="5" fontId="14" numFmtId="0" xfId="0" applyAlignment="1" applyBorder="1" applyFont="1">
      <alignment readingOrder="0" shrinkToFit="0" vertical="center" wrapText="0"/>
    </xf>
    <xf borderId="13" fillId="5" fontId="3" numFmtId="0" xfId="0" applyAlignment="1" applyBorder="1" applyFont="1">
      <alignment readingOrder="0" vertical="center"/>
    </xf>
    <xf borderId="13" fillId="5" fontId="15" numFmtId="0" xfId="0" applyAlignment="1" applyBorder="1" applyFont="1">
      <alignment horizontal="right" readingOrder="0" vertical="center"/>
    </xf>
    <xf borderId="14" fillId="5" fontId="15" numFmtId="0" xfId="0" applyAlignment="1" applyBorder="1" applyFont="1">
      <alignment horizontal="right" readingOrder="0" vertical="center"/>
    </xf>
    <xf borderId="0" fillId="0" fontId="15" numFmtId="0" xfId="0" applyAlignment="1" applyFont="1">
      <alignment readingOrder="0" shrinkToFit="0" wrapText="0"/>
    </xf>
    <xf borderId="0" fillId="0" fontId="15" numFmtId="0" xfId="0" applyAlignment="1" applyFont="1">
      <alignment horizontal="right" readingOrder="0"/>
    </xf>
    <xf borderId="0" fillId="0" fontId="16" numFmtId="0" xfId="0" applyAlignment="1" applyFont="1">
      <alignment horizontal="right" readingOrder="0"/>
    </xf>
    <xf borderId="0" fillId="0" fontId="12" numFmtId="0" xfId="0" applyAlignment="1" applyFont="1">
      <alignment horizontal="left" shrinkToFit="0" wrapText="1"/>
    </xf>
    <xf borderId="0" fillId="0" fontId="12" numFmtId="0" xfId="0" applyFont="1"/>
    <xf borderId="0" fillId="0" fontId="12" numFmtId="0" xfId="0" applyAlignment="1" applyFont="1">
      <alignment horizontal="left" readingOrder="0" shrinkToFit="0" wrapText="1"/>
    </xf>
    <xf borderId="0" fillId="0" fontId="3" numFmtId="0" xfId="0" applyAlignment="1" applyFont="1">
      <alignment horizontal="left" readingOrder="0" shrinkToFit="0" wrapText="1"/>
    </xf>
    <xf borderId="0" fillId="3" fontId="17" numFmtId="0" xfId="0" applyAlignment="1" applyFont="1">
      <alignment readingOrder="0" vertical="center"/>
    </xf>
    <xf borderId="10" fillId="0" fontId="6" numFmtId="0" xfId="0" applyBorder="1" applyFont="1"/>
    <xf borderId="11" fillId="0" fontId="6" numFmtId="0" xfId="0" applyBorder="1" applyFont="1"/>
    <xf borderId="7" fillId="0" fontId="18" numFmtId="0" xfId="0" applyAlignment="1" applyBorder="1" applyFont="1">
      <alignment readingOrder="0" shrinkToFit="0" wrapText="1"/>
    </xf>
    <xf borderId="15" fillId="6" fontId="19" numFmtId="0" xfId="0" applyAlignment="1" applyBorder="1" applyFill="1" applyFont="1">
      <alignment horizontal="center" readingOrder="0" textRotation="90" vertical="center"/>
    </xf>
    <xf borderId="16" fillId="0" fontId="3" numFmtId="0" xfId="0" applyBorder="1" applyFont="1"/>
    <xf borderId="16" fillId="0" fontId="12" numFmtId="0" xfId="0" applyAlignment="1" applyBorder="1" applyFont="1">
      <alignment readingOrder="0"/>
    </xf>
    <xf borderId="16" fillId="0" fontId="6" numFmtId="0" xfId="0" applyBorder="1" applyFont="1"/>
    <xf borderId="17" fillId="0" fontId="6" numFmtId="0" xfId="0" applyBorder="1" applyFont="1"/>
    <xf borderId="7" fillId="0" fontId="6" numFmtId="0" xfId="0" applyBorder="1" applyFont="1"/>
    <xf borderId="0" fillId="0" fontId="20" numFmtId="0" xfId="0" applyAlignment="1" applyFont="1">
      <alignment readingOrder="0"/>
    </xf>
    <xf borderId="15" fillId="7" fontId="19" numFmtId="0" xfId="0" applyAlignment="1" applyBorder="1" applyFill="1" applyFont="1">
      <alignment horizontal="center" readingOrder="0" textRotation="90" vertical="center"/>
    </xf>
    <xf borderId="15" fillId="8" fontId="19" numFmtId="0" xfId="0" applyAlignment="1" applyBorder="1" applyFill="1" applyFont="1">
      <alignment horizontal="center" readingOrder="0" textRotation="90" vertical="center"/>
    </xf>
    <xf borderId="15" fillId="9" fontId="19" numFmtId="0" xfId="0" applyAlignment="1" applyBorder="1" applyFill="1" applyFont="1">
      <alignment horizontal="center" readingOrder="0" textRotation="90" vertical="center"/>
    </xf>
    <xf borderId="0" fillId="0" fontId="3" numFmtId="0" xfId="0" applyAlignment="1" applyFont="1">
      <alignment readingOrder="0"/>
    </xf>
    <xf borderId="8" fillId="0" fontId="3" numFmtId="0" xfId="0" applyAlignment="1" applyBorder="1" applyFont="1">
      <alignment readingOrder="0"/>
    </xf>
    <xf borderId="9" fillId="0" fontId="6" numFmtId="0" xfId="0" applyBorder="1" applyFont="1"/>
    <xf borderId="10" fillId="0" fontId="3" numFmtId="0" xfId="0" applyBorder="1" applyFont="1"/>
    <xf borderId="11" fillId="0" fontId="3" numFmtId="0" xfId="0" applyBorder="1" applyFont="1"/>
    <xf borderId="0" fillId="0" fontId="21" numFmtId="0" xfId="0" applyAlignment="1" applyFont="1">
      <alignment readingOrder="0" shrinkToFit="0" wrapText="0"/>
    </xf>
    <xf borderId="0" fillId="0" fontId="15" numFmtId="0" xfId="0" applyAlignment="1" applyFont="1">
      <alignment horizontal="right" readingOrder="0"/>
    </xf>
    <xf borderId="0" fillId="0" fontId="7" numFmtId="0" xfId="0" applyAlignment="1" applyFont="1">
      <alignment readingOrder="0"/>
    </xf>
    <xf borderId="0" fillId="0" fontId="22" numFmtId="0" xfId="0" applyAlignment="1" applyFont="1">
      <alignment readingOrder="0"/>
    </xf>
    <xf borderId="0" fillId="0" fontId="3" numFmtId="0" xfId="0" applyAlignment="1" applyFont="1">
      <alignment vertical="top"/>
    </xf>
    <xf borderId="4" fillId="0" fontId="7" numFmtId="0" xfId="0" applyAlignment="1" applyBorder="1" applyFont="1">
      <alignment readingOrder="0" vertical="top"/>
    </xf>
    <xf borderId="5" fillId="0" fontId="6" numFmtId="0" xfId="0" applyBorder="1" applyFont="1"/>
    <xf borderId="5" fillId="0" fontId="23" numFmtId="0" xfId="0" applyAlignment="1" applyBorder="1" applyFont="1">
      <alignment horizontal="right" readingOrder="0" vertical="top"/>
    </xf>
    <xf borderId="6" fillId="0" fontId="6" numFmtId="0" xfId="0" applyBorder="1" applyFont="1"/>
    <xf borderId="7" fillId="10" fontId="24" numFmtId="0" xfId="0" applyAlignment="1" applyBorder="1" applyFill="1" applyFont="1">
      <alignment readingOrder="0" shrinkToFit="0" wrapText="1"/>
    </xf>
    <xf borderId="7" fillId="0" fontId="8" numFmtId="0" xfId="0" applyAlignment="1" applyBorder="1" applyFont="1">
      <alignment readingOrder="0" shrinkToFit="0" wrapText="1"/>
    </xf>
    <xf borderId="0" fillId="0" fontId="8" numFmtId="0" xfId="0" applyAlignment="1" applyFont="1">
      <alignment readingOrder="0" shrinkToFit="0" wrapText="1"/>
    </xf>
    <xf borderId="8" fillId="0" fontId="8" numFmtId="0" xfId="0" applyAlignment="1" applyBorder="1" applyFont="1">
      <alignment readingOrder="0" shrinkToFit="0" wrapText="1"/>
    </xf>
    <xf borderId="7" fillId="10" fontId="8" numFmtId="0" xfId="0" applyAlignment="1" applyBorder="1" applyFont="1">
      <alignment readingOrder="0" shrinkToFit="0" wrapText="1"/>
    </xf>
    <xf borderId="7" fillId="10" fontId="8" numFmtId="0" xfId="0" applyAlignment="1" applyBorder="1" applyFont="1">
      <alignment readingOrder="0" shrinkToFit="0" vertical="top" wrapText="1"/>
    </xf>
    <xf borderId="0" fillId="10" fontId="8" numFmtId="0" xfId="0" applyAlignment="1" applyFont="1">
      <alignment readingOrder="0" shrinkToFit="0" vertical="top" wrapText="1"/>
    </xf>
    <xf borderId="8" fillId="10" fontId="8" numFmtId="0" xfId="0" applyAlignment="1" applyBorder="1" applyFont="1">
      <alignment readingOrder="0" shrinkToFit="0" vertical="top" wrapText="1"/>
    </xf>
    <xf borderId="0" fillId="10" fontId="25" numFmtId="0" xfId="0" applyAlignment="1" applyFont="1">
      <alignment readingOrder="0" shrinkToFit="0" vertical="top" wrapText="1"/>
    </xf>
    <xf borderId="0" fillId="0" fontId="3" numFmtId="0" xfId="0" applyAlignment="1" applyFont="1">
      <alignment vertical="bottom"/>
    </xf>
    <xf borderId="7" fillId="10" fontId="8" numFmtId="0" xfId="0" applyAlignment="1" applyBorder="1" applyFont="1">
      <alignment readingOrder="0" shrinkToFit="0" vertical="bottom" wrapText="1"/>
    </xf>
    <xf borderId="7" fillId="11" fontId="8" numFmtId="0" xfId="0" applyAlignment="1" applyBorder="1" applyFill="1" applyFont="1">
      <alignment readingOrder="0" shrinkToFit="0" wrapText="1"/>
    </xf>
    <xf borderId="9" fillId="11" fontId="8" numFmtId="0" xfId="0" applyAlignment="1" applyBorder="1" applyFont="1">
      <alignment readingOrder="0" shrinkToFit="0" wrapText="1"/>
    </xf>
    <xf borderId="7" fillId="10" fontId="8" numFmtId="0" xfId="0" applyAlignment="1" applyBorder="1" applyFont="1">
      <alignment readingOrder="0" shrinkToFit="0" wrapText="1"/>
    </xf>
    <xf borderId="18" fillId="8" fontId="3" numFmtId="0" xfId="0" applyAlignment="1" applyBorder="1" applyFont="1">
      <alignment readingOrder="0" shrinkToFit="0" vertical="top" wrapText="1"/>
    </xf>
    <xf borderId="0" fillId="0" fontId="3" numFmtId="0" xfId="0" applyAlignment="1" applyFont="1">
      <alignment horizontal="center" readingOrder="0" vertical="center"/>
    </xf>
    <xf borderId="18" fillId="12" fontId="3" numFmtId="0" xfId="0" applyAlignment="1" applyBorder="1" applyFill="1" applyFont="1">
      <alignment readingOrder="0" shrinkToFit="0" vertical="top" wrapText="1"/>
    </xf>
    <xf borderId="19" fillId="8" fontId="3" numFmtId="0" xfId="0" applyAlignment="1" applyBorder="1" applyFont="1">
      <alignment readingOrder="0" shrinkToFit="0" vertical="top" wrapText="1"/>
    </xf>
    <xf borderId="19" fillId="12" fontId="3" numFmtId="0" xfId="0" applyAlignment="1" applyBorder="1" applyFont="1">
      <alignment readingOrder="0" shrinkToFit="0" vertical="top" wrapText="1"/>
    </xf>
    <xf borderId="20" fillId="0" fontId="6" numFmtId="0" xfId="0" applyBorder="1" applyFont="1"/>
    <xf borderId="21" fillId="0" fontId="6" numFmtId="0" xfId="0" applyBorder="1" applyFont="1"/>
    <xf borderId="0" fillId="0" fontId="3" numFmtId="0" xfId="0" applyAlignment="1" applyFont="1">
      <alignment shrinkToFit="0" wrapText="1"/>
    </xf>
    <xf borderId="7" fillId="0" fontId="3" numFmtId="0" xfId="0" applyAlignment="1" applyBorder="1" applyFont="1">
      <alignment shrinkToFit="0" wrapText="1"/>
    </xf>
    <xf borderId="19" fillId="13" fontId="3" numFmtId="0" xfId="0" applyAlignment="1" applyBorder="1" applyFill="1" applyFont="1">
      <alignment readingOrder="0" shrinkToFit="0" vertical="top" wrapText="1"/>
    </xf>
    <xf borderId="0" fillId="0" fontId="3" numFmtId="0" xfId="0" applyAlignment="1" applyFont="1">
      <alignment horizontal="center" readingOrder="0" shrinkToFit="0" vertical="center" wrapText="1"/>
    </xf>
    <xf borderId="22" fillId="13" fontId="3" numFmtId="0" xfId="0" applyAlignment="1" applyBorder="1" applyFont="1">
      <alignment readingOrder="0" shrinkToFit="0" vertical="top" wrapText="1"/>
    </xf>
    <xf borderId="8" fillId="0" fontId="3" numFmtId="0" xfId="0" applyAlignment="1" applyBorder="1" applyFont="1">
      <alignment shrinkToFit="0" wrapText="1"/>
    </xf>
    <xf borderId="23" fillId="0" fontId="6" numFmtId="0" xfId="0" applyBorder="1" applyFont="1"/>
    <xf borderId="7" fillId="10" fontId="8" numFmtId="0" xfId="0" applyAlignment="1" applyBorder="1" applyFont="1">
      <alignment readingOrder="0"/>
    </xf>
    <xf borderId="18" fillId="13" fontId="3" numFmtId="0" xfId="0" applyAlignment="1" applyBorder="1" applyFont="1">
      <alignment readingOrder="0" shrinkToFit="0" vertical="top" wrapText="1"/>
    </xf>
    <xf borderId="8" fillId="0" fontId="26" numFmtId="0" xfId="0" applyAlignment="1" applyBorder="1" applyFont="1">
      <alignment vertical="bottom"/>
    </xf>
    <xf borderId="0" fillId="10" fontId="27" numFmtId="0" xfId="0" applyAlignment="1" applyFont="1">
      <alignment readingOrder="0" shrinkToFit="0" vertical="bottom" wrapText="1"/>
    </xf>
    <xf borderId="0" fillId="0" fontId="26" numFmtId="0" xfId="0" applyAlignment="1" applyFont="1">
      <alignment vertical="bottom"/>
    </xf>
    <xf borderId="24" fillId="0" fontId="28" numFmtId="0" xfId="0" applyAlignment="1" applyBorder="1" applyFont="1">
      <alignment readingOrder="0" vertical="bottom"/>
    </xf>
    <xf borderId="24" fillId="0" fontId="28" numFmtId="0" xfId="0" applyAlignment="1" applyBorder="1" applyFont="1">
      <alignment vertical="bottom"/>
    </xf>
    <xf borderId="25" fillId="0" fontId="26" numFmtId="0" xfId="0" applyAlignment="1" applyBorder="1" applyFont="1">
      <alignment vertical="bottom"/>
    </xf>
    <xf borderId="19" fillId="14" fontId="26" numFmtId="0" xfId="0" applyAlignment="1" applyBorder="1" applyFill="1" applyFont="1">
      <alignment horizontal="left" readingOrder="0" shrinkToFit="0" vertical="top" wrapText="1"/>
    </xf>
    <xf borderId="25" fillId="0" fontId="26" numFmtId="0" xfId="0" applyAlignment="1" applyBorder="1" applyFont="1">
      <alignment horizontal="center" shrinkToFit="0" vertical="center" wrapText="1"/>
    </xf>
    <xf borderId="25" fillId="0" fontId="6" numFmtId="0" xfId="0" applyBorder="1" applyFont="1"/>
    <xf borderId="0" fillId="0" fontId="28" numFmtId="0" xfId="0" applyAlignment="1" applyFont="1">
      <alignment readingOrder="0" vertical="bottom"/>
    </xf>
    <xf borderId="26" fillId="8" fontId="26" numFmtId="0" xfId="0" applyAlignment="1" applyBorder="1" applyFont="1">
      <alignment readingOrder="0" shrinkToFit="0" vertical="top" wrapText="1"/>
    </xf>
    <xf borderId="0" fillId="10" fontId="29" numFmtId="0" xfId="0" applyAlignment="1" applyFont="1">
      <alignment readingOrder="0" shrinkToFit="0" vertical="bottom" wrapText="1"/>
    </xf>
    <xf borderId="9" fillId="10" fontId="8" numFmtId="0" xfId="0" applyAlignment="1" applyBorder="1" applyFont="1">
      <alignment readingOrder="0" shrinkToFit="0" wrapText="1"/>
    </xf>
    <xf borderId="9" fillId="0" fontId="3" numFmtId="0" xfId="0" applyBorder="1" applyFont="1"/>
    <xf borderId="0" fillId="0" fontId="30" numFmtId="0" xfId="0" applyAlignment="1" applyFont="1">
      <alignment readingOrder="0"/>
    </xf>
    <xf borderId="0" fillId="0" fontId="31" numFmtId="0" xfId="0" applyAlignment="1" applyFont="1">
      <alignment readingOrder="0"/>
    </xf>
    <xf borderId="0" fillId="0" fontId="32" numFmtId="0" xfId="0" applyAlignment="1" applyFont="1">
      <alignment horizontal="center" readingOrder="0"/>
    </xf>
    <xf borderId="7" fillId="10" fontId="8" numFmtId="0" xfId="0" applyAlignment="1" applyBorder="1" applyFont="1">
      <alignment readingOrder="0" shrinkToFit="0" vertical="top" wrapText="1"/>
    </xf>
    <xf borderId="7" fillId="0" fontId="8" numFmtId="0" xfId="0" applyAlignment="1" applyBorder="1" applyFont="1">
      <alignment horizontal="left" readingOrder="0" shrinkToFit="0" vertical="top" wrapText="1"/>
    </xf>
    <xf borderId="27" fillId="8" fontId="3" numFmtId="0" xfId="0" applyAlignment="1" applyBorder="1" applyFont="1">
      <alignment readingOrder="0" shrinkToFit="0" vertical="top" wrapText="1"/>
    </xf>
    <xf borderId="7" fillId="10" fontId="10" numFmtId="0" xfId="0" applyAlignment="1" applyBorder="1" applyFont="1">
      <alignment horizontal="left" readingOrder="0" shrinkToFit="0" wrapText="1"/>
    </xf>
    <xf borderId="0" fillId="10" fontId="10" numFmtId="0" xfId="0" applyAlignment="1" applyFont="1">
      <alignment horizontal="left" readingOrder="0" shrinkToFit="0" wrapText="1"/>
    </xf>
    <xf borderId="7" fillId="15" fontId="10" numFmtId="0" xfId="0" applyAlignment="1" applyBorder="1" applyFill="1" applyFont="1">
      <alignment horizontal="left" readingOrder="0" shrinkToFit="0" wrapText="1"/>
    </xf>
    <xf borderId="28" fillId="14" fontId="26" numFmtId="0" xfId="0" applyAlignment="1" applyBorder="1" applyFont="1">
      <alignment readingOrder="0" shrinkToFit="0" vertical="top" wrapText="1"/>
    </xf>
    <xf borderId="19" fillId="13" fontId="26" numFmtId="0" xfId="0" applyAlignment="1" applyBorder="1" applyFont="1">
      <alignment horizontal="left" readingOrder="0" shrinkToFit="0" vertical="top" wrapText="1"/>
    </xf>
    <xf borderId="19" fillId="8" fontId="33" numFmtId="0" xfId="0" applyAlignment="1" applyBorder="1" applyFont="1">
      <alignment readingOrder="0" shrinkToFit="0" vertical="top" wrapText="1"/>
    </xf>
    <xf borderId="9" fillId="15" fontId="34" numFmtId="0" xfId="0" applyAlignment="1" applyBorder="1" applyFont="1">
      <alignment readingOrder="0" shrinkToFit="0" wrapText="1"/>
    </xf>
    <xf borderId="0" fillId="2" fontId="26" numFmtId="0" xfId="0" applyAlignment="1" applyFont="1">
      <alignment vertical="bottom"/>
    </xf>
    <xf borderId="0" fillId="3" fontId="35" numFmtId="0" xfId="0" applyFont="1"/>
    <xf borderId="0" fillId="3" fontId="26" numFmtId="0" xfId="0" applyAlignment="1" applyFont="1">
      <alignment vertical="bottom"/>
    </xf>
    <xf borderId="0" fillId="0" fontId="26" numFmtId="0" xfId="0" applyAlignment="1" applyFont="1">
      <alignment vertical="bottom"/>
    </xf>
    <xf borderId="0" fillId="0" fontId="36" numFmtId="0" xfId="0" applyAlignment="1" applyFont="1">
      <alignment vertical="bottom"/>
    </xf>
    <xf borderId="0" fillId="0" fontId="37" numFmtId="0" xfId="0" applyAlignment="1" applyFont="1">
      <alignment vertical="bottom"/>
    </xf>
    <xf borderId="10" fillId="0" fontId="26" numFmtId="0" xfId="0" applyAlignment="1" applyBorder="1" applyFont="1">
      <alignment vertical="bottom"/>
    </xf>
    <xf borderId="8" fillId="0" fontId="26" numFmtId="0" xfId="0" applyAlignment="1" applyBorder="1" applyFont="1">
      <alignment vertical="top"/>
    </xf>
    <xf borderId="0" fillId="0" fontId="36" numFmtId="0" xfId="0" applyAlignment="1" applyFont="1">
      <alignment vertical="top"/>
    </xf>
    <xf borderId="0" fillId="0" fontId="38" numFmtId="0" xfId="0" applyAlignment="1" applyFont="1">
      <alignment horizontal="right" vertical="top"/>
    </xf>
    <xf borderId="0" fillId="0" fontId="26" numFmtId="0" xfId="0" applyAlignment="1" applyFont="1">
      <alignment vertical="top"/>
    </xf>
    <xf borderId="0" fillId="10" fontId="39" numFmtId="0" xfId="0" applyAlignment="1" applyFont="1">
      <alignment readingOrder="0" shrinkToFit="0" vertical="bottom" wrapText="1"/>
    </xf>
    <xf borderId="8" fillId="0" fontId="26" numFmtId="0" xfId="0" applyAlignment="1" applyBorder="1" applyFont="1">
      <alignment vertical="bottom"/>
    </xf>
    <xf borderId="10" fillId="10" fontId="27" numFmtId="0" xfId="0" applyAlignment="1" applyBorder="1" applyFont="1">
      <alignment shrinkToFit="0" vertical="bottom" wrapText="1"/>
    </xf>
    <xf borderId="0" fillId="10" fontId="27" numFmtId="0" xfId="0" applyAlignment="1" applyFont="1">
      <alignment shrinkToFit="0" vertical="bottom" wrapText="1"/>
    </xf>
    <xf borderId="24" fillId="0" fontId="28" numFmtId="0" xfId="0" applyAlignment="1" applyBorder="1" applyFont="1">
      <alignment vertical="bottom"/>
    </xf>
    <xf borderId="29" fillId="8" fontId="26" numFmtId="0" xfId="0" applyAlignment="1" applyBorder="1" applyFont="1">
      <alignment shrinkToFit="0" vertical="top" wrapText="1"/>
    </xf>
    <xf borderId="25" fillId="0" fontId="26" numFmtId="0" xfId="0" applyAlignment="1" applyBorder="1" applyFont="1">
      <alignment horizontal="center"/>
    </xf>
    <xf borderId="0" fillId="10" fontId="27" numFmtId="0" xfId="0" applyAlignment="1" applyFont="1">
      <alignment vertical="bottom"/>
    </xf>
    <xf borderId="25" fillId="0" fontId="26" numFmtId="0" xfId="0" applyAlignment="1" applyBorder="1" applyFont="1">
      <alignment horizontal="center" shrinkToFit="0" wrapText="1"/>
    </xf>
    <xf borderId="25" fillId="13" fontId="26" numFmtId="0" xfId="0" applyAlignment="1" applyBorder="1" applyFont="1">
      <alignment shrinkToFit="0" vertical="top" wrapText="1"/>
    </xf>
    <xf borderId="19" fillId="13" fontId="26" numFmtId="0" xfId="0" applyAlignment="1" applyBorder="1" applyFont="1">
      <alignment readingOrder="0" shrinkToFit="0" vertical="top" wrapText="1"/>
    </xf>
    <xf borderId="29" fillId="0" fontId="6" numFmtId="0" xfId="0" applyBorder="1" applyFont="1"/>
    <xf borderId="25" fillId="0" fontId="26" numFmtId="0" xfId="0" applyBorder="1" applyFont="1"/>
    <xf borderId="0" fillId="10" fontId="27" numFmtId="0" xfId="0" applyAlignment="1" applyFont="1">
      <alignment vertical="bottom"/>
    </xf>
    <xf borderId="25" fillId="8" fontId="26" numFmtId="0" xfId="0" applyAlignment="1" applyBorder="1" applyFont="1">
      <alignment shrinkToFit="0" vertical="top" wrapText="1"/>
    </xf>
    <xf borderId="25" fillId="0" fontId="26" numFmtId="0" xfId="0" applyAlignment="1" applyBorder="1" applyFont="1">
      <alignment horizontal="center" shrinkToFit="0" wrapText="1"/>
    </xf>
    <xf borderId="19" fillId="12" fontId="26" numFmtId="0" xfId="0" applyAlignment="1" applyBorder="1" applyFont="1">
      <alignment readingOrder="0" shrinkToFit="0" vertical="top" wrapText="1"/>
    </xf>
    <xf borderId="25" fillId="0" fontId="26" numFmtId="0" xfId="0" applyAlignment="1" applyBorder="1" applyFont="1">
      <alignment vertical="bottom"/>
    </xf>
    <xf borderId="25" fillId="0" fontId="26" numFmtId="0" xfId="0" applyBorder="1" applyFont="1"/>
    <xf borderId="10" fillId="10" fontId="27" numFmtId="0" xfId="0" applyAlignment="1" applyBorder="1" applyFont="1">
      <alignment shrinkToFit="0" vertical="bottom" wrapText="1"/>
    </xf>
    <xf borderId="0" fillId="0" fontId="40" numFmtId="0" xfId="0" applyAlignment="1" applyFont="1">
      <alignment horizontal="right" vertical="bottom"/>
    </xf>
    <xf borderId="30" fillId="0" fontId="36" numFmtId="0" xfId="0" applyAlignment="1" applyBorder="1" applyFont="1">
      <alignment vertical="top"/>
    </xf>
    <xf borderId="30" fillId="0" fontId="6" numFmtId="0" xfId="0" applyBorder="1" applyFont="1"/>
    <xf borderId="30" fillId="0" fontId="41" numFmtId="0" xfId="0" applyAlignment="1" applyBorder="1" applyFont="1">
      <alignment horizontal="right" vertical="top"/>
    </xf>
    <xf borderId="31" fillId="0" fontId="6" numFmtId="0" xfId="0" applyBorder="1" applyFont="1"/>
    <xf borderId="0" fillId="10" fontId="27" numFmtId="0" xfId="0" applyAlignment="1" applyFont="1">
      <alignment shrinkToFit="0" vertical="bottom" wrapText="1"/>
    </xf>
    <xf borderId="25" fillId="13" fontId="26" numFmtId="0" xfId="0" applyAlignment="1" applyBorder="1" applyFont="1">
      <alignment horizontal="left" readingOrder="0" shrinkToFit="0" vertical="top" wrapText="1"/>
    </xf>
    <xf borderId="24" fillId="0" fontId="26" numFmtId="0" xfId="0" applyAlignment="1" applyBorder="1" applyFont="1">
      <alignment vertical="bottom"/>
    </xf>
    <xf borderId="25" fillId="12" fontId="26" numFmtId="0" xfId="0" applyAlignment="1" applyBorder="1" applyFont="1">
      <alignment horizontal="left" readingOrder="0" shrinkToFit="0" vertical="top" wrapText="1"/>
    </xf>
    <xf borderId="11" fillId="0" fontId="26" numFmtId="0" xfId="0" applyAlignment="1" applyBorder="1" applyFont="1">
      <alignment vertical="bottom"/>
    </xf>
    <xf borderId="0" fillId="0" fontId="42" numFmtId="0" xfId="0" applyAlignment="1" applyFont="1">
      <alignment vertical="bottom"/>
    </xf>
    <xf borderId="0" fillId="0" fontId="43" numFmtId="0" xfId="0" applyAlignment="1" applyFont="1">
      <alignment horizontal="right" vertical="bottom"/>
    </xf>
    <xf borderId="0" fillId="0" fontId="44" numFmtId="0" xfId="0" applyAlignment="1" applyFont="1">
      <alignment horizontal="center" vertical="bottom"/>
    </xf>
    <xf borderId="32" fillId="8" fontId="3" numFmtId="0" xfId="0" applyAlignment="1" applyBorder="1" applyFont="1">
      <alignment readingOrder="0" shrinkToFit="0" vertical="top" wrapText="1"/>
    </xf>
    <xf borderId="33" fillId="0" fontId="6" numFmtId="0" xfId="0" applyBorder="1" applyFont="1"/>
    <xf borderId="34" fillId="0" fontId="6" numFmtId="0" xfId="0" applyBorder="1" applyFont="1"/>
    <xf borderId="5" fillId="0" fontId="7" numFmtId="0" xfId="0" applyAlignment="1" applyBorder="1" applyFont="1">
      <alignment readingOrder="0" vertical="top"/>
    </xf>
    <xf borderId="5" fillId="0" fontId="31" numFmtId="0" xfId="0" applyAlignment="1" applyBorder="1" applyFont="1">
      <alignment horizontal="right" readingOrder="0" vertical="top"/>
    </xf>
    <xf borderId="9" fillId="10" fontId="45" numFmtId="0" xfId="0" applyAlignment="1" applyBorder="1" applyFont="1">
      <alignment readingOrder="0" shrinkToFit="0" wrapText="1"/>
    </xf>
    <xf borderId="18" fillId="14" fontId="3" numFmtId="0" xfId="0" applyAlignment="1" applyBorder="1" applyFont="1">
      <alignment readingOrder="0" shrinkToFit="0" vertical="top" wrapText="1"/>
    </xf>
    <xf borderId="28" fillId="14" fontId="3" numFmtId="0" xfId="0" applyAlignment="1" applyBorder="1" applyFont="1">
      <alignment readingOrder="0" shrinkToFit="0" vertical="top" wrapText="1"/>
    </xf>
    <xf borderId="0" fillId="3" fontId="26" numFmtId="0" xfId="0" applyFont="1"/>
    <xf borderId="0" fillId="3" fontId="26" numFmtId="0" xfId="0" applyAlignment="1" applyFont="1">
      <alignment vertical="top"/>
    </xf>
    <xf borderId="0" fillId="0" fontId="26" numFmtId="0" xfId="0" applyFont="1"/>
    <xf borderId="0" fillId="0" fontId="26" numFmtId="0" xfId="0" applyFont="1"/>
    <xf borderId="10" fillId="0" fontId="26" numFmtId="0" xfId="0" applyBorder="1" applyFont="1"/>
    <xf borderId="10" fillId="0" fontId="26" numFmtId="0" xfId="0" applyAlignment="1" applyBorder="1" applyFont="1">
      <alignment vertical="top"/>
    </xf>
    <xf borderId="35" fillId="0" fontId="46" numFmtId="0" xfId="0" applyAlignment="1" applyBorder="1" applyFont="1">
      <alignment vertical="bottom"/>
    </xf>
    <xf borderId="24" fillId="0" fontId="46" numFmtId="0" xfId="0" applyAlignment="1" applyBorder="1" applyFont="1">
      <alignment vertical="bottom"/>
    </xf>
    <xf borderId="24" fillId="0" fontId="46" numFmtId="0" xfId="0" applyAlignment="1" applyBorder="1" applyFont="1">
      <alignment shrinkToFit="0" vertical="bottom" wrapText="1"/>
    </xf>
    <xf borderId="24" fillId="0" fontId="46" numFmtId="0" xfId="0" applyAlignment="1" applyBorder="1" applyFont="1">
      <alignment vertical="top"/>
    </xf>
    <xf borderId="36" fillId="0" fontId="26" numFmtId="0" xfId="0" applyAlignment="1" applyBorder="1" applyFont="1">
      <alignment vertical="bottom"/>
    </xf>
    <xf borderId="27" fillId="16" fontId="26" numFmtId="0" xfId="0" applyAlignment="1" applyBorder="1" applyFill="1" applyFont="1">
      <alignment shrinkToFit="0" vertical="top" wrapText="1"/>
    </xf>
    <xf borderId="25" fillId="0" fontId="47" numFmtId="0" xfId="0" applyAlignment="1" applyBorder="1" applyFont="1">
      <alignment horizontal="center" vertical="center"/>
    </xf>
    <xf borderId="29" fillId="16" fontId="26" numFmtId="0" xfId="0" applyAlignment="1" applyBorder="1" applyFont="1">
      <alignment shrinkToFit="0" vertical="top" wrapText="1"/>
    </xf>
    <xf borderId="25" fillId="0" fontId="48" numFmtId="0" xfId="0" applyAlignment="1" applyBorder="1" applyFont="1">
      <alignment horizontal="center" vertical="center"/>
    </xf>
    <xf borderId="25" fillId="0" fontId="26" numFmtId="0" xfId="0" applyAlignment="1" applyBorder="1" applyFont="1">
      <alignment horizontal="center" vertical="center"/>
    </xf>
    <xf borderId="0" fillId="0" fontId="26" numFmtId="0" xfId="0" applyAlignment="1" applyFont="1">
      <alignment vertical="top"/>
    </xf>
    <xf borderId="32" fillId="16" fontId="26" numFmtId="0" xfId="0" applyAlignment="1" applyBorder="1" applyFont="1">
      <alignment shrinkToFit="0" vertical="top" wrapText="1"/>
    </xf>
    <xf borderId="25" fillId="16" fontId="26" numFmtId="0" xfId="0" applyAlignment="1" applyBorder="1" applyFont="1">
      <alignment shrinkToFit="0" vertical="top" wrapText="1"/>
    </xf>
    <xf borderId="0" fillId="10" fontId="49" numFmtId="0" xfId="0" applyAlignment="1" applyFont="1">
      <alignment readingOrder="0" shrinkToFit="0" vertical="bottom" wrapText="1"/>
    </xf>
    <xf borderId="25" fillId="8" fontId="26" numFmtId="0" xfId="0" applyAlignment="1" applyBorder="1" applyFont="1">
      <alignment shrinkToFit="0" vertical="top" wrapText="1"/>
    </xf>
    <xf borderId="0" fillId="10" fontId="46" numFmtId="0" xfId="0" applyAlignment="1" applyFont="1">
      <alignment readingOrder="0" shrinkToFit="0" vertical="bottom" wrapText="1"/>
    </xf>
    <xf borderId="29" fillId="12" fontId="26" numFmtId="0" xfId="0" applyAlignment="1" applyBorder="1" applyFont="1">
      <alignment horizontal="left" readingOrder="0" shrinkToFit="0" vertical="top" wrapText="1"/>
    </xf>
    <xf borderId="10" fillId="0" fontId="26" numFmtId="0" xfId="0" applyAlignment="1" applyBorder="1" applyFont="1">
      <alignment vertical="top"/>
    </xf>
    <xf borderId="10" fillId="0" fontId="26" numFmtId="0" xfId="0" applyBorder="1" applyFont="1"/>
    <xf borderId="0" fillId="0" fontId="50" numFmtId="0" xfId="0" applyAlignment="1" applyFont="1">
      <alignment vertical="bottom"/>
    </xf>
    <xf borderId="0" fillId="0" fontId="51" numFmtId="0" xfId="0" applyAlignment="1" applyFont="1">
      <alignment horizontal="center" vertical="bottom"/>
    </xf>
    <xf borderId="0" fillId="3" fontId="3" numFmtId="0" xfId="0" applyAlignment="1" applyFont="1">
      <alignment vertical="top"/>
    </xf>
    <xf borderId="0" fillId="0" fontId="7" numFmtId="0" xfId="0" applyAlignment="1" applyFont="1">
      <alignment readingOrder="0" vertical="center"/>
    </xf>
    <xf borderId="0" fillId="0" fontId="8" numFmtId="0" xfId="0" applyAlignment="1" applyFont="1">
      <alignment readingOrder="0"/>
    </xf>
    <xf borderId="5" fillId="0" fontId="3" numFmtId="0" xfId="0" applyAlignment="1" applyBorder="1" applyFont="1">
      <alignment vertical="center"/>
    </xf>
    <xf borderId="5" fillId="0" fontId="3" numFmtId="0" xfId="0" applyAlignment="1" applyBorder="1" applyFont="1">
      <alignment shrinkToFit="0" wrapText="1"/>
    </xf>
    <xf borderId="0" fillId="0" fontId="8" numFmtId="0" xfId="0" applyFont="1"/>
    <xf borderId="7" fillId="0" fontId="8" numFmtId="0" xfId="0" applyBorder="1" applyFont="1"/>
    <xf borderId="0" fillId="0" fontId="34" numFmtId="0" xfId="0" applyAlignment="1" applyFont="1">
      <alignment readingOrder="0"/>
    </xf>
    <xf borderId="0" fillId="0" fontId="8" numFmtId="0" xfId="0" applyAlignment="1" applyFont="1">
      <alignment vertical="center"/>
    </xf>
    <xf borderId="0" fillId="0" fontId="34" numFmtId="0" xfId="0" applyAlignment="1" applyFont="1">
      <alignment readingOrder="0" shrinkToFit="0" wrapText="1"/>
    </xf>
    <xf borderId="0" fillId="0" fontId="34" numFmtId="0" xfId="0" applyAlignment="1" applyFont="1">
      <alignment readingOrder="0" vertical="top"/>
    </xf>
    <xf borderId="8" fillId="0" fontId="8" numFmtId="0" xfId="0" applyBorder="1" applyFont="1"/>
    <xf borderId="27" fillId="16" fontId="3" numFmtId="0" xfId="0" applyAlignment="1" applyBorder="1" applyFont="1">
      <alignment readingOrder="0" shrinkToFit="0" vertical="top" wrapText="1"/>
    </xf>
    <xf borderId="0" fillId="0" fontId="52" numFmtId="0" xfId="0" applyAlignment="1" applyFont="1">
      <alignment horizontal="center" readingOrder="0" vertical="center"/>
    </xf>
    <xf borderId="18" fillId="16" fontId="3" numFmtId="0" xfId="0" applyAlignment="1" applyBorder="1" applyFont="1">
      <alignment readingOrder="0" shrinkToFit="0" vertical="top" wrapText="1"/>
    </xf>
    <xf borderId="0" fillId="0" fontId="53" numFmtId="0" xfId="0" applyAlignment="1" applyFont="1">
      <alignment horizontal="center" readingOrder="0" vertical="center"/>
    </xf>
    <xf borderId="0" fillId="0" fontId="8" numFmtId="0" xfId="0" applyAlignment="1" applyFont="1">
      <alignment readingOrder="0" shrinkToFit="0" vertical="top" wrapText="1"/>
    </xf>
    <xf borderId="0" fillId="0" fontId="3" numFmtId="0" xfId="0" applyAlignment="1" applyFont="1">
      <alignment readingOrder="0" shrinkToFit="0" vertical="top" wrapText="1"/>
    </xf>
    <xf borderId="7" fillId="15" fontId="8" numFmtId="0" xfId="0" applyAlignment="1" applyBorder="1" applyFont="1">
      <alignment readingOrder="0" shrinkToFit="0" wrapText="1"/>
    </xf>
    <xf borderId="5" fillId="0" fontId="3" numFmtId="0" xfId="0" applyAlignment="1" applyBorder="1" applyFont="1">
      <alignment vertical="top"/>
    </xf>
    <xf borderId="7" fillId="10" fontId="34" numFmtId="0" xfId="0" applyAlignment="1" applyBorder="1" applyFont="1">
      <alignment readingOrder="0" shrinkToFit="0" wrapText="1"/>
    </xf>
    <xf borderId="0" fillId="3" fontId="3" numFmtId="0" xfId="0" applyAlignment="1" applyFont="1">
      <alignment vertical="center"/>
    </xf>
    <xf borderId="5" fillId="0" fontId="3" numFmtId="0" xfId="0" applyAlignment="1" applyBorder="1" applyFont="1">
      <alignment shrinkToFit="0" vertical="top" wrapText="1"/>
    </xf>
    <xf borderId="9" fillId="10" fontId="8" numFmtId="0" xfId="0" applyAlignment="1" applyBorder="1" applyFont="1">
      <alignment readingOrder="0" shrinkToFit="0" wrapText="1"/>
    </xf>
    <xf borderId="0" fillId="0" fontId="8" numFmtId="0" xfId="0" applyAlignment="1" applyFont="1">
      <alignment readingOrder="0" shrinkToFit="0" vertical="center" wrapText="1"/>
    </xf>
    <xf borderId="32" fillId="16" fontId="3" numFmtId="0" xfId="0" applyAlignment="1" applyBorder="1" applyFont="1">
      <alignment readingOrder="0" shrinkToFit="0" vertical="top" wrapText="1"/>
    </xf>
    <xf borderId="7" fillId="10" fontId="34" numFmtId="0" xfId="0" applyAlignment="1" applyBorder="1" applyFont="1">
      <alignment readingOrder="0" shrinkToFit="0" vertical="center" wrapText="1"/>
    </xf>
    <xf borderId="0" fillId="0" fontId="15" numFmtId="0" xfId="0" applyAlignment="1" applyFont="1">
      <alignment horizontal="right" readingOrder="0" vertical="center"/>
    </xf>
    <xf borderId="0" fillId="0" fontId="34" numFmtId="0" xfId="0" applyAlignment="1" applyFont="1">
      <alignment readingOrder="0" shrinkToFit="0" vertical="top" wrapText="1"/>
    </xf>
    <xf borderId="10" fillId="0" fontId="8" numFmtId="0" xfId="0" applyAlignment="1" applyBorder="1" applyFont="1">
      <alignment readingOrder="0" shrinkToFit="0" vertical="top" wrapText="1"/>
    </xf>
    <xf borderId="10" fillId="0" fontId="3" numFmtId="0" xfId="0" applyAlignment="1" applyBorder="1" applyFont="1">
      <alignment horizontal="center" readingOrder="0" vertical="center"/>
    </xf>
    <xf borderId="10" fillId="0" fontId="3" numFmtId="0" xfId="0" applyAlignment="1" applyBorder="1" applyFont="1">
      <alignment readingOrder="0" shrinkToFit="0" vertical="top" wrapText="1"/>
    </xf>
    <xf borderId="10" fillId="0" fontId="3" numFmtId="0" xfId="0" applyAlignment="1" applyBorder="1" applyFont="1">
      <alignment vertical="center"/>
    </xf>
    <xf borderId="37" fillId="16" fontId="3" numFmtId="0" xfId="0" applyAlignment="1" applyBorder="1" applyFont="1">
      <alignment readingOrder="0" shrinkToFit="0" vertical="top" wrapText="1"/>
    </xf>
    <xf borderId="38" fillId="0" fontId="6" numFmtId="0" xfId="0" applyBorder="1" applyFont="1"/>
    <xf borderId="39" fillId="0" fontId="6" numFmtId="0" xfId="0" applyBorder="1" applyFont="1"/>
    <xf borderId="0" fillId="13" fontId="3" numFmtId="0" xfId="0" applyAlignment="1" applyFont="1">
      <alignment readingOrder="0" shrinkToFit="0" vertical="top" wrapText="1"/>
    </xf>
    <xf borderId="40" fillId="0" fontId="6" numFmtId="0" xfId="0" applyBorder="1" applyFont="1"/>
    <xf borderId="36" fillId="0" fontId="6" numFmtId="0" xfId="0" applyBorder="1" applyFont="1"/>
    <xf borderId="41" fillId="0" fontId="6" numFmtId="0" xfId="0" applyBorder="1" applyFont="1"/>
    <xf borderId="35" fillId="0" fontId="6" numFmtId="0" xfId="0" applyBorder="1" applyFont="1"/>
    <xf borderId="42" fillId="0" fontId="6" numFmtId="0" xfId="0" applyBorder="1" applyFont="1"/>
    <xf borderId="19" fillId="16" fontId="3" numFmtId="0" xfId="0" applyAlignment="1" applyBorder="1" applyFont="1">
      <alignment readingOrder="0" shrinkToFit="0" vertical="top" wrapText="1"/>
    </xf>
    <xf borderId="0" fillId="13" fontId="26" numFmtId="0" xfId="0" applyAlignment="1" applyFont="1">
      <alignment horizontal="left" readingOrder="0" shrinkToFit="0" vertical="top" wrapText="1"/>
    </xf>
    <xf borderId="5" fillId="0" fontId="3" numFmtId="0" xfId="0" applyAlignment="1" applyBorder="1" applyFont="1">
      <alignment readingOrder="0" vertical="top"/>
    </xf>
    <xf borderId="0" fillId="0" fontId="8" numFmtId="0" xfId="0" applyAlignment="1" applyFont="1">
      <alignment horizontal="center" readingOrder="0" vertical="center"/>
    </xf>
    <xf borderId="7" fillId="15" fontId="8" numFmtId="0" xfId="0" applyAlignment="1" applyBorder="1" applyFont="1">
      <alignment readingOrder="0" shrinkToFit="0" vertical="top" wrapText="1"/>
    </xf>
    <xf quotePrefix="1" borderId="7" fillId="15" fontId="8" numFmtId="0" xfId="0" applyAlignment="1" applyBorder="1" applyFont="1">
      <alignment readingOrder="0" shrinkToFit="0" vertical="top" wrapText="1"/>
    </xf>
    <xf borderId="0" fillId="15" fontId="8" numFmtId="0" xfId="0" applyAlignment="1" applyFont="1">
      <alignment readingOrder="0" shrinkToFit="0" vertical="top" wrapText="1"/>
    </xf>
    <xf borderId="8" fillId="15" fontId="8" numFmtId="0" xfId="0" applyAlignment="1" applyBorder="1" applyFont="1">
      <alignment readingOrder="0" shrinkToFit="0" wrapText="1"/>
    </xf>
    <xf borderId="7" fillId="15" fontId="8" numFmtId="0" xfId="0" applyAlignment="1" applyBorder="1" applyFont="1">
      <alignment readingOrder="0" shrinkToFit="0" vertical="bottom" wrapText="1"/>
    </xf>
    <xf borderId="18" fillId="14" fontId="3" numFmtId="0" xfId="0" applyAlignment="1" applyBorder="1" applyFont="1">
      <alignment readingOrder="0" vertical="top"/>
    </xf>
    <xf borderId="43" fillId="8" fontId="26" numFmtId="0" xfId="0" applyAlignment="1" applyBorder="1" applyFont="1">
      <alignment shrinkToFit="0" vertical="top" wrapText="1"/>
    </xf>
    <xf borderId="25" fillId="0" fontId="26" numFmtId="0" xfId="0" applyAlignment="1" applyBorder="1" applyFont="1">
      <alignment horizontal="center" shrinkToFit="0" vertical="center" wrapText="1"/>
    </xf>
    <xf borderId="0" fillId="10" fontId="8" numFmtId="0" xfId="0" applyAlignment="1" applyFont="1">
      <alignment readingOrder="0" shrinkToFit="0" vertical="top" wrapText="1"/>
    </xf>
    <xf borderId="0" fillId="10" fontId="8" numFmtId="0" xfId="0" applyAlignment="1" applyFont="1">
      <alignment readingOrder="0" shrinkToFit="0" wrapText="1"/>
    </xf>
    <xf borderId="8" fillId="10" fontId="8" numFmtId="0" xfId="0" applyAlignment="1" applyBorder="1" applyFont="1">
      <alignment readingOrder="0" shrinkToFit="0" wrapText="1"/>
    </xf>
    <xf borderId="7" fillId="10" fontId="27" numFmtId="0" xfId="0" applyAlignment="1" applyBorder="1" applyFont="1">
      <alignment shrinkToFit="0" vertical="bottom" wrapText="1"/>
    </xf>
    <xf borderId="19" fillId="13" fontId="3" numFmtId="0" xfId="0" applyAlignment="1" applyBorder="1" applyFont="1">
      <alignment horizontal="left" readingOrder="0" shrinkToFit="0" vertical="top" wrapText="1"/>
    </xf>
    <xf borderId="0" fillId="12" fontId="54" numFmtId="0" xfId="0" applyAlignment="1" applyFont="1">
      <alignment horizontal="center" readingOrder="0" shrinkToFit="0" vertical="center" wrapText="1"/>
    </xf>
    <xf borderId="0" fillId="12" fontId="55" numFmtId="0" xfId="0" applyAlignment="1" applyFont="1">
      <alignment horizontal="center" shrinkToFit="0" vertical="center" wrapText="1"/>
    </xf>
    <xf borderId="7" fillId="10" fontId="46" numFmtId="0" xfId="0" applyAlignment="1" applyBorder="1" applyFont="1">
      <alignment shrinkToFit="0" vertical="bottom" wrapText="1"/>
    </xf>
    <xf borderId="0" fillId="15" fontId="27" numFmtId="0" xfId="0" applyAlignment="1" applyFont="1">
      <alignment shrinkToFit="0" vertical="top" wrapText="1"/>
    </xf>
    <xf borderId="7" fillId="0" fontId="8" numFmtId="0" xfId="0" applyAlignment="1" applyBorder="1" applyFont="1">
      <alignment readingOrder="0" shrinkToFit="0" vertical="top" wrapText="1"/>
    </xf>
    <xf borderId="8" fillId="0" fontId="8" numFmtId="0" xfId="0" applyAlignment="1" applyBorder="1" applyFont="1">
      <alignment readingOrder="0" shrinkToFit="0" vertical="top" wrapText="1"/>
    </xf>
    <xf borderId="0" fillId="0" fontId="34" numFmtId="0" xfId="0" applyAlignment="1" applyFont="1">
      <alignment readingOrder="0" shrinkToFit="0" wrapText="0"/>
    </xf>
    <xf borderId="0" fillId="0" fontId="8" numFmtId="0" xfId="0" applyAlignment="1" applyFont="1">
      <alignment readingOrder="0" shrinkToFit="0" vertical="top" wrapText="0"/>
    </xf>
    <xf borderId="0" fillId="0" fontId="56" numFmtId="0" xfId="0" applyAlignment="1" applyFont="1">
      <alignment readingOrder="0" shrinkToFit="0" vertical="top" wrapText="0"/>
    </xf>
    <xf borderId="0" fillId="0" fontId="57" numFmtId="0" xfId="0" applyAlignment="1" applyFont="1">
      <alignment readingOrder="0" shrinkToFit="0" vertical="top" wrapText="0"/>
    </xf>
    <xf borderId="0" fillId="0" fontId="58" numFmtId="0" xfId="0" applyAlignment="1" applyFont="1">
      <alignment readingOrder="0" shrinkToFit="0" vertical="top" wrapText="0"/>
    </xf>
    <xf borderId="44" fillId="13" fontId="3" numFmtId="0" xfId="0" applyAlignment="1" applyBorder="1" applyFont="1">
      <alignment readingOrder="0" shrinkToFit="0" vertical="top" wrapText="1"/>
    </xf>
    <xf borderId="45" fillId="0" fontId="6" numFmtId="0" xfId="0" applyBorder="1" applyFont="1"/>
    <xf borderId="43" fillId="0" fontId="6" numFmtId="0" xfId="0" applyBorder="1" applyFont="1"/>
    <xf borderId="46" fillId="0" fontId="6" numFmtId="0" xfId="0" applyBorder="1" applyFont="1"/>
    <xf borderId="24" fillId="0" fontId="6" numFmtId="0" xfId="0" applyBorder="1" applyFont="1"/>
    <xf borderId="9" fillId="15" fontId="27" numFmtId="0" xfId="0" applyAlignment="1" applyBorder="1" applyFont="1">
      <alignment readingOrder="0" shrinkToFit="0" vertical="top" wrapText="1"/>
    </xf>
    <xf borderId="0" fillId="0" fontId="59" numFmtId="0" xfId="0" applyAlignment="1" applyFont="1">
      <alignment horizontal="right" readingOrder="0"/>
    </xf>
    <xf borderId="0" fillId="0" fontId="15" numFmtId="0" xfId="0" applyAlignment="1" applyFont="1">
      <alignment horizontal="center" readingOrder="0"/>
    </xf>
    <xf borderId="47" fillId="12" fontId="3" numFmtId="0" xfId="0" applyAlignment="1" applyBorder="1" applyFont="1">
      <alignment readingOrder="0" shrinkToFit="0" vertical="top" wrapText="1"/>
    </xf>
    <xf borderId="48" fillId="0" fontId="6" numFmtId="0" xfId="0" applyBorder="1" applyFont="1"/>
    <xf borderId="19" fillId="8" fontId="26" numFmtId="0" xfId="0" applyAlignment="1" applyBorder="1" applyFont="1">
      <alignment shrinkToFit="0" vertical="top" wrapText="1"/>
    </xf>
    <xf borderId="49" fillId="0" fontId="6" numFmtId="0" xfId="0" applyBorder="1" applyFont="1"/>
    <xf borderId="0" fillId="0" fontId="60" numFmtId="0" xfId="0" applyAlignment="1" applyFont="1">
      <alignment readingOrder="0" shrinkToFit="0" vertical="top" wrapText="0"/>
    </xf>
    <xf borderId="7" fillId="10" fontId="45" numFmtId="0" xfId="0" applyAlignment="1" applyBorder="1" applyFont="1">
      <alignment readingOrder="0" shrinkToFit="0" wrapText="1"/>
    </xf>
    <xf borderId="7" fillId="0" fontId="45" numFmtId="0" xfId="0" applyAlignment="1" applyBorder="1" applyFont="1">
      <alignment horizontal="center" readingOrder="0" shrinkToFit="0" wrapText="1"/>
    </xf>
    <xf borderId="0" fillId="0" fontId="45" numFmtId="0" xfId="0" applyAlignment="1" applyFont="1">
      <alignment readingOrder="0" shrinkToFit="0" wrapText="1"/>
    </xf>
    <xf borderId="8" fillId="0" fontId="45" numFmtId="0" xfId="0" applyAlignment="1" applyBorder="1" applyFont="1">
      <alignment readingOrder="0" shrinkToFit="0" wrapText="1"/>
    </xf>
    <xf borderId="7" fillId="10" fontId="61" numFmtId="0" xfId="0" applyAlignment="1" applyBorder="1" applyFont="1">
      <alignment horizontal="left" readingOrder="0"/>
    </xf>
    <xf borderId="7" fillId="10" fontId="45" numFmtId="0" xfId="0" applyAlignment="1" applyBorder="1" applyFont="1">
      <alignment horizontal="center" readingOrder="0" shrinkToFit="0" wrapText="1"/>
    </xf>
    <xf borderId="0" fillId="10" fontId="45" numFmtId="0" xfId="0" applyAlignment="1" applyFont="1">
      <alignment readingOrder="0" shrinkToFit="0" wrapText="1"/>
    </xf>
    <xf borderId="9" fillId="10" fontId="62" numFmtId="0" xfId="0" applyAlignment="1" applyBorder="1" applyFont="1">
      <alignment horizontal="left" readingOrder="0" shrinkToFit="0" wrapText="1"/>
    </xf>
    <xf borderId="7" fillId="10" fontId="63" numFmtId="0" xfId="0" applyAlignment="1" applyBorder="1" applyFont="1">
      <alignment readingOrder="0" shrinkToFit="0" wrapText="1"/>
    </xf>
    <xf borderId="0" fillId="3" fontId="35" numFmtId="0" xfId="0" applyAlignment="1" applyFont="1">
      <alignment vertical="bottom"/>
    </xf>
    <xf borderId="0" fillId="0" fontId="36" numFmtId="0" xfId="0" applyAlignment="1" applyFont="1">
      <alignment shrinkToFit="0" vertical="bottom" wrapText="0"/>
    </xf>
    <xf borderId="0" fillId="0" fontId="46" numFmtId="0" xfId="0" applyAlignment="1" applyFont="1">
      <alignment vertical="bottom"/>
    </xf>
    <xf borderId="0" fillId="0" fontId="46" numFmtId="0" xfId="0" applyAlignment="1" applyFont="1">
      <alignment vertical="top"/>
    </xf>
    <xf borderId="0" fillId="0" fontId="46" numFmtId="0" xfId="0" applyAlignment="1" applyFont="1">
      <alignment shrinkToFit="0" vertical="bottom" wrapText="1"/>
    </xf>
    <xf borderId="24" fillId="0" fontId="26" numFmtId="0" xfId="0" applyAlignment="1" applyBorder="1" applyFont="1">
      <alignment vertical="top"/>
    </xf>
    <xf quotePrefix="1" borderId="0" fillId="0" fontId="27" numFmtId="0" xfId="0" applyAlignment="1" applyFont="1">
      <alignment horizontal="center" shrinkToFit="0" vertical="top" wrapText="1"/>
    </xf>
    <xf borderId="0" fillId="0" fontId="46" numFmtId="0" xfId="0" applyAlignment="1" applyFont="1">
      <alignment shrinkToFit="0" vertical="top" wrapText="1"/>
    </xf>
    <xf borderId="24" fillId="8" fontId="26" numFmtId="0" xfId="0" applyAlignment="1" applyBorder="1" applyFont="1">
      <alignment shrinkToFit="0" vertical="top" wrapText="1"/>
    </xf>
    <xf borderId="29" fillId="0" fontId="26" numFmtId="0" xfId="0" applyAlignment="1" applyBorder="1" applyFont="1">
      <alignment shrinkToFit="0" vertical="top" wrapText="1"/>
    </xf>
    <xf borderId="24" fillId="0" fontId="26" numFmtId="0" xfId="0" applyAlignment="1" applyBorder="1" applyFont="1">
      <alignment vertical="top"/>
    </xf>
    <xf borderId="24" fillId="0" fontId="26" numFmtId="0" xfId="0" applyAlignment="1" applyBorder="1" applyFont="1">
      <alignment vertical="bottom"/>
    </xf>
    <xf quotePrefix="1" borderId="0" fillId="0" fontId="27" numFmtId="0" xfId="0" applyAlignment="1" applyFont="1">
      <alignment horizontal="center" shrinkToFit="0" vertical="top" wrapText="1"/>
    </xf>
    <xf borderId="0" fillId="0" fontId="46" numFmtId="0" xfId="0" applyAlignment="1" applyFont="1">
      <alignment readingOrder="0" shrinkToFit="0" vertical="top" wrapText="1"/>
    </xf>
    <xf borderId="29" fillId="0" fontId="26" numFmtId="0" xfId="0" applyAlignment="1" applyBorder="1" applyFont="1">
      <alignment readingOrder="0" shrinkToFit="0" vertical="top" wrapText="1"/>
    </xf>
    <xf borderId="36" fillId="0" fontId="26" numFmtId="0" xfId="0" applyAlignment="1" applyBorder="1" applyFont="1">
      <alignment vertical="top"/>
    </xf>
    <xf borderId="0" fillId="17" fontId="26" numFmtId="0" xfId="0" applyAlignment="1" applyFill="1" applyFont="1">
      <alignment shrinkToFit="0" vertical="top" wrapText="1"/>
    </xf>
    <xf borderId="36" fillId="0" fontId="26" numFmtId="0" xfId="0" applyAlignment="1" applyBorder="1" applyFont="1">
      <alignment vertical="top"/>
    </xf>
    <xf borderId="10" fillId="10" fontId="46" numFmtId="0" xfId="0" applyAlignment="1" applyBorder="1" applyFont="1">
      <alignment readingOrder="0" shrinkToFit="0" vertical="bottom" wrapText="1"/>
    </xf>
    <xf borderId="24" fillId="8" fontId="26" numFmtId="0" xfId="0" applyAlignment="1" applyBorder="1" applyFont="1">
      <alignment vertical="top"/>
    </xf>
    <xf borderId="0" fillId="8" fontId="26" numFmtId="0" xfId="0" applyAlignment="1" applyFont="1">
      <alignment shrinkToFit="0" vertical="top" wrapText="1"/>
    </xf>
    <xf borderId="25" fillId="0" fontId="26" numFmtId="0" xfId="0" applyAlignment="1" applyBorder="1" applyFont="1">
      <alignment shrinkToFit="0" vertical="top" wrapText="1"/>
    </xf>
    <xf borderId="37" fillId="17" fontId="26" numFmtId="0" xfId="0" applyAlignment="1" applyBorder="1" applyFont="1">
      <alignment shrinkToFit="0" vertical="top" wrapText="1"/>
    </xf>
    <xf borderId="25" fillId="0" fontId="47" numFmtId="0" xfId="0" applyAlignment="1" applyBorder="1" applyFont="1">
      <alignment horizontal="center" vertical="center"/>
    </xf>
    <xf borderId="25" fillId="0" fontId="26" numFmtId="0" xfId="0" applyAlignment="1" applyBorder="1" applyFont="1">
      <alignment horizontal="center" vertical="center"/>
    </xf>
    <xf borderId="25" fillId="12" fontId="26" numFmtId="0" xfId="0" applyAlignment="1" applyBorder="1" applyFont="1">
      <alignment readingOrder="0" shrinkToFit="0" vertical="top" wrapText="1"/>
    </xf>
    <xf borderId="24" fillId="0" fontId="46" numFmtId="0" xfId="0" applyAlignment="1" applyBorder="1" applyFont="1">
      <alignment vertical="bottom"/>
    </xf>
    <xf borderId="10" fillId="0" fontId="26" numFmtId="0" xfId="0" applyAlignment="1" applyBorder="1" applyFont="1">
      <alignment vertical="bottom"/>
    </xf>
    <xf borderId="0" fillId="0" fontId="36" numFmtId="0" xfId="0" applyAlignment="1" applyFont="1">
      <alignment vertical="top"/>
    </xf>
    <xf borderId="0" fillId="0" fontId="64" numFmtId="0" xfId="0" applyAlignment="1" applyFont="1">
      <alignment horizontal="right" vertical="top"/>
    </xf>
    <xf borderId="7" fillId="10" fontId="27" numFmtId="0" xfId="0" applyAlignment="1" applyBorder="1" applyFont="1">
      <alignment readingOrder="0" shrinkToFit="0" vertical="bottom" wrapText="1"/>
    </xf>
    <xf borderId="0" fillId="0" fontId="46" numFmtId="0" xfId="0" applyAlignment="1" applyFont="1">
      <alignment vertical="bottom"/>
    </xf>
    <xf borderId="0" fillId="0" fontId="46" numFmtId="0" xfId="0" applyAlignment="1" applyFont="1">
      <alignment vertical="top"/>
    </xf>
    <xf borderId="0" fillId="0" fontId="46" numFmtId="0" xfId="0" applyAlignment="1" applyFont="1">
      <alignment shrinkToFit="0" vertical="bottom" wrapText="1"/>
    </xf>
    <xf borderId="37" fillId="17" fontId="26" numFmtId="0" xfId="0" applyAlignment="1" applyBorder="1" applyFont="1">
      <alignment shrinkToFit="0" vertical="top" wrapText="1"/>
    </xf>
    <xf borderId="25" fillId="0" fontId="47" numFmtId="0" xfId="0" applyAlignment="1" applyBorder="1" applyFont="1">
      <alignment horizontal="center"/>
    </xf>
    <xf borderId="25" fillId="16" fontId="26" numFmtId="0" xfId="0" applyAlignment="1" applyBorder="1" applyFont="1">
      <alignment shrinkToFit="0" vertical="top" wrapText="1"/>
    </xf>
    <xf borderId="25" fillId="0" fontId="48" numFmtId="0" xfId="0" applyAlignment="1" applyBorder="1" applyFont="1">
      <alignment horizontal="center" vertical="center"/>
    </xf>
    <xf borderId="0" fillId="0" fontId="3" numFmtId="0" xfId="0" applyAlignment="1" applyFont="1">
      <alignment horizontal="center" vertical="top"/>
    </xf>
    <xf borderId="24" fillId="0" fontId="46" numFmtId="0" xfId="0" applyAlignment="1" applyBorder="1" applyFont="1">
      <alignment shrinkToFit="0" vertical="bottom" wrapText="0"/>
    </xf>
    <xf borderId="7" fillId="0" fontId="10" numFmtId="0" xfId="0" applyAlignment="1" applyBorder="1" applyFont="1">
      <alignment horizontal="left" readingOrder="0" shrinkToFit="0" wrapText="1"/>
    </xf>
    <xf borderId="0" fillId="0" fontId="10" numFmtId="0" xfId="0" applyAlignment="1" applyFont="1">
      <alignment horizontal="left" readingOrder="0" shrinkToFit="0" wrapText="1"/>
    </xf>
    <xf borderId="8" fillId="0" fontId="10" numFmtId="0" xfId="0" applyAlignment="1" applyBorder="1" applyFont="1">
      <alignment horizontal="left" readingOrder="0" shrinkToFit="0" wrapText="1"/>
    </xf>
    <xf borderId="7" fillId="10" fontId="10" numFmtId="0" xfId="0" applyAlignment="1" applyBorder="1" applyFont="1">
      <alignment horizontal="left" readingOrder="0" shrinkToFit="0" vertical="center" wrapText="1"/>
    </xf>
    <xf borderId="7" fillId="10" fontId="65" numFmtId="0" xfId="0" applyAlignment="1" applyBorder="1" applyFont="1">
      <alignment horizontal="center" readingOrder="0" shrinkToFit="0" wrapText="1"/>
    </xf>
    <xf borderId="0" fillId="10" fontId="66" numFmtId="0" xfId="0" applyAlignment="1" applyFont="1">
      <alignment readingOrder="0" shrinkToFit="0" wrapText="1"/>
    </xf>
    <xf borderId="0" fillId="10" fontId="67" numFmtId="0" xfId="0" applyAlignment="1" applyFont="1">
      <alignment horizontal="left" readingOrder="0" shrinkToFit="0" wrapText="1"/>
    </xf>
    <xf borderId="0" fillId="10" fontId="68" numFmtId="0" xfId="0" applyAlignment="1" applyFont="1">
      <alignment horizontal="center" shrinkToFit="0" vertical="bottom" wrapText="1"/>
    </xf>
    <xf borderId="0" fillId="10" fontId="69" numFmtId="0" xfId="0" applyAlignment="1" applyFont="1">
      <alignment readingOrder="0" shrinkToFit="0" vertical="bottom" wrapText="1"/>
    </xf>
    <xf borderId="0" fillId="0" fontId="3" numFmtId="0" xfId="0" applyAlignment="1" applyFont="1">
      <alignment horizontal="center" readingOrder="0" vertical="top"/>
    </xf>
    <xf borderId="44" fillId="12" fontId="26" numFmtId="0" xfId="0" applyAlignment="1" applyBorder="1" applyFont="1">
      <alignment readingOrder="0" shrinkToFit="0" vertical="top" wrapText="1"/>
    </xf>
    <xf borderId="50" fillId="0" fontId="6" numFmtId="0" xfId="0" applyBorder="1" applyFont="1"/>
    <xf borderId="9" fillId="10" fontId="70" numFmtId="0" xfId="0" applyAlignment="1" applyBorder="1" applyFont="1">
      <alignment readingOrder="0" shrinkToFit="0" wrapText="1"/>
    </xf>
    <xf borderId="44" fillId="13" fontId="26" numFmtId="0" xfId="0" applyAlignment="1" applyBorder="1" applyFont="1">
      <alignment readingOrder="0" shrinkToFit="0" vertical="top" wrapText="1"/>
    </xf>
    <xf borderId="0" fillId="0" fontId="34" numFmtId="0" xfId="0" applyAlignment="1" applyFont="1">
      <alignment readingOrder="0" vertical="bottom"/>
    </xf>
    <xf borderId="39" fillId="16" fontId="26" numFmtId="0" xfId="0" applyAlignment="1" applyBorder="1" applyFont="1">
      <alignment shrinkToFit="0" vertical="top" wrapText="1"/>
    </xf>
    <xf borderId="43" fillId="17" fontId="26" numFmtId="0" xfId="0" applyAlignment="1" applyBorder="1" applyFont="1">
      <alignment readingOrder="0" shrinkToFit="0" vertical="top" wrapText="1"/>
    </xf>
    <xf borderId="43" fillId="8" fontId="26" numFmtId="0" xfId="0" applyAlignment="1" applyBorder="1" applyFont="1">
      <alignment readingOrder="0" shrinkToFit="0" vertical="top" wrapText="1"/>
    </xf>
    <xf borderId="43" fillId="12" fontId="26" numFmtId="0" xfId="0" applyAlignment="1" applyBorder="1" applyFont="1">
      <alignment shrinkToFit="0" vertical="top" wrapText="1"/>
    </xf>
    <xf borderId="0" fillId="0" fontId="8" numFmtId="0" xfId="0" applyAlignment="1" applyFont="1">
      <alignment shrinkToFit="0" wrapText="1"/>
    </xf>
    <xf borderId="7" fillId="0" fontId="8" numFmtId="0" xfId="0" applyAlignment="1" applyBorder="1" applyFont="1">
      <alignment shrinkToFit="0" wrapText="1"/>
    </xf>
    <xf borderId="0" fillId="0" fontId="8" numFmtId="0" xfId="0" applyAlignment="1" applyFont="1">
      <alignment shrinkToFit="0" vertical="center" wrapText="1"/>
    </xf>
    <xf borderId="0" fillId="0" fontId="34" numFmtId="0" xfId="0" applyAlignment="1" applyFont="1">
      <alignment readingOrder="0" shrinkToFit="0" vertical="bottom" wrapText="1"/>
    </xf>
    <xf borderId="8" fillId="0" fontId="8" numFmtId="0" xfId="0" applyAlignment="1" applyBorder="1" applyFont="1">
      <alignment shrinkToFit="0" wrapText="1"/>
    </xf>
    <xf borderId="43" fillId="17" fontId="26" numFmtId="0" xfId="0" applyAlignment="1" applyBorder="1" applyFont="1">
      <alignment shrinkToFit="0" vertical="top" wrapText="1"/>
    </xf>
    <xf borderId="43" fillId="12" fontId="26" numFmtId="0" xfId="0" applyAlignment="1" applyBorder="1" applyFont="1">
      <alignment readingOrder="0" shrinkToFit="0" vertical="top" wrapText="1"/>
    </xf>
    <xf borderId="24" fillId="0" fontId="26" numFmtId="0" xfId="0" applyBorder="1" applyFont="1"/>
    <xf borderId="0" fillId="12" fontId="26" numFmtId="0" xfId="0" applyAlignment="1" applyFont="1">
      <alignment readingOrder="0" shrinkToFit="0" vertical="top" wrapText="1"/>
    </xf>
    <xf borderId="36" fillId="16" fontId="26" numFmtId="0" xfId="0" applyAlignment="1" applyBorder="1" applyFont="1">
      <alignment shrinkToFit="0" vertical="top" wrapText="1"/>
    </xf>
    <xf borderId="25" fillId="17" fontId="26" numFmtId="0" xfId="0" applyAlignment="1" applyBorder="1" applyFont="1">
      <alignment readingOrder="0" shrinkToFit="0" vertical="top" wrapText="1"/>
    </xf>
    <xf borderId="25" fillId="8" fontId="26" numFmtId="0" xfId="0" applyAlignment="1" applyBorder="1" applyFont="1">
      <alignment readingOrder="0" shrinkToFit="0" vertical="top" wrapText="1"/>
    </xf>
    <xf borderId="25" fillId="12" fontId="26" numFmtId="0" xfId="0" applyAlignment="1" applyBorder="1" applyFont="1">
      <alignment shrinkToFit="0" vertical="top" wrapText="1"/>
    </xf>
    <xf borderId="51" fillId="0" fontId="46" numFmtId="0" xfId="0" applyAlignment="1" applyBorder="1" applyFont="1">
      <alignment shrinkToFit="0" vertical="bottom" wrapText="1"/>
    </xf>
    <xf borderId="52" fillId="0" fontId="47" numFmtId="0" xfId="0" applyAlignment="1" applyBorder="1" applyFont="1">
      <alignment horizontal="center" vertical="center"/>
    </xf>
    <xf borderId="53" fillId="16" fontId="26" numFmtId="0" xfId="0" applyAlignment="1" applyBorder="1" applyFont="1">
      <alignment shrinkToFit="0" vertical="top" wrapText="1"/>
    </xf>
    <xf borderId="0" fillId="0" fontId="48" numFmtId="0" xfId="0" applyAlignment="1" applyFont="1">
      <alignment horizontal="center"/>
    </xf>
    <xf borderId="19" fillId="8" fontId="26" numFmtId="0" xfId="0" applyAlignment="1" applyBorder="1" applyFont="1">
      <alignment readingOrder="0" shrinkToFit="0" vertical="top" wrapText="1"/>
    </xf>
    <xf borderId="19" fillId="12" fontId="26" numFmtId="0" xfId="0" applyAlignment="1" applyBorder="1" applyFont="1">
      <alignment shrinkToFit="0" vertical="top" wrapText="1"/>
    </xf>
    <xf borderId="10" fillId="0" fontId="15" numFmtId="0" xfId="0" applyAlignment="1" applyBorder="1" applyFont="1">
      <alignment horizontal="right" readingOrder="0" vertical="center"/>
    </xf>
    <xf borderId="10" fillId="0" fontId="15" numFmtId="0" xfId="0" applyAlignment="1" applyBorder="1" applyFont="1">
      <alignment horizontal="right" readingOrder="0"/>
    </xf>
    <xf borderId="11" fillId="0" fontId="15" numFmtId="0" xfId="0" applyAlignment="1" applyBorder="1" applyFont="1">
      <alignment horizontal="right" readingOrder="0"/>
    </xf>
    <xf borderId="25" fillId="0" fontId="47" numFmtId="0" xfId="0" applyAlignment="1" applyBorder="1" applyFont="1">
      <alignment horizontal="center"/>
    </xf>
    <xf borderId="25" fillId="0" fontId="48" numFmtId="0" xfId="0" applyAlignment="1" applyBorder="1" applyFont="1">
      <alignment horizontal="center"/>
    </xf>
    <xf borderId="35" fillId="0" fontId="46" numFmtId="0" xfId="0" applyAlignment="1" applyBorder="1" applyFont="1">
      <alignment shrinkToFit="0" vertical="bottom" wrapText="1"/>
    </xf>
    <xf borderId="25" fillId="17" fontId="26" numFmtId="0" xfId="0" applyAlignment="1" applyBorder="1" applyFont="1">
      <alignment shrinkToFit="0" vertical="top" wrapText="1"/>
    </xf>
    <xf borderId="52" fillId="0" fontId="47" numFmtId="0" xfId="0" applyAlignment="1" applyBorder="1" applyFont="1">
      <alignment horizontal="center"/>
    </xf>
    <xf borderId="9" fillId="10" fontId="71" numFmtId="0" xfId="0" applyAlignment="1" applyBorder="1" applyFont="1">
      <alignment shrinkToFit="0" vertical="bottom" wrapText="1"/>
    </xf>
    <xf borderId="0" fillId="0" fontId="72" numFmtId="0" xfId="0" applyAlignment="1" applyFont="1">
      <alignment readingOrder="0"/>
    </xf>
    <xf borderId="0" fillId="0" fontId="73" numFmtId="0" xfId="0" applyAlignment="1" applyFont="1">
      <alignment horizontal="center" readingOrder="0"/>
    </xf>
    <xf borderId="9" fillId="10" fontId="74" numFmtId="0" xfId="0" applyAlignment="1" applyBorder="1" applyFont="1">
      <alignment readingOrder="0" shrinkToFit="0" wrapText="1"/>
    </xf>
    <xf borderId="0" fillId="0" fontId="75" numFmtId="0" xfId="0" applyAlignment="1" applyFont="1">
      <alignment horizontal="right" readingOrder="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0" Type="http://schemas.openxmlformats.org/officeDocument/2006/relationships/worksheet" Target="worksheets/sheet2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 Id="rId3" Type="http://schemas.openxmlformats.org/officeDocument/2006/relationships/image" Target="../media/image3.png"/><Relationship Id="rId4" Type="http://schemas.openxmlformats.org/officeDocument/2006/relationships/image" Target="../media/image6.png"/><Relationship Id="rId5" Type="http://schemas.openxmlformats.org/officeDocument/2006/relationships/image" Target="../media/image7.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476250</xdr:colOff>
      <xdr:row>13</xdr:row>
      <xdr:rowOff>133350</xdr:rowOff>
    </xdr:from>
    <xdr:ext cx="428625" cy="304800"/>
    <xdr:sp>
      <xdr:nvSpPr>
        <xdr:cNvPr id="3" name="Shape 3"/>
        <xdr:cNvSpPr/>
      </xdr:nvSpPr>
      <xdr:spPr>
        <a:xfrm>
          <a:off x="3671975" y="2398225"/>
          <a:ext cx="776100" cy="537300"/>
        </a:xfrm>
        <a:prstGeom prst="leftArrow">
          <a:avLst>
            <a:gd fmla="val 50000" name="adj1"/>
            <a:gd fmla="val 50000" name="adj2"/>
          </a:avLst>
        </a:prstGeom>
        <a:solidFill>
          <a:srgbClr val="B86046"/>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0</xdr:col>
      <xdr:colOff>47625</xdr:colOff>
      <xdr:row>0</xdr:row>
      <xdr:rowOff>76200</xdr:rowOff>
    </xdr:from>
    <xdr:ext cx="295275" cy="2190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200025</xdr:colOff>
      <xdr:row>15</xdr:row>
      <xdr:rowOff>38100</xdr:rowOff>
    </xdr:from>
    <xdr:ext cx="3886200" cy="962025"/>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114300</xdr:colOff>
      <xdr:row>13</xdr:row>
      <xdr:rowOff>57150</xdr:rowOff>
    </xdr:from>
    <xdr:ext cx="1981200" cy="914400"/>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104775</xdr:colOff>
      <xdr:row>8</xdr:row>
      <xdr:rowOff>47625</xdr:rowOff>
    </xdr:from>
    <xdr:ext cx="4429125" cy="1047750"/>
    <xdr:pic>
      <xdr:nvPicPr>
        <xdr:cNvPr id="0" name="image6.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123825</xdr:colOff>
      <xdr:row>19</xdr:row>
      <xdr:rowOff>95250</xdr:rowOff>
    </xdr:from>
    <xdr:ext cx="4667250" cy="2219325"/>
    <xdr:pic>
      <xdr:nvPicPr>
        <xdr:cNvPr id="0" name="image7.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85725</xdr:colOff>
      <xdr:row>0</xdr:row>
      <xdr:rowOff>104775</xdr:rowOff>
    </xdr:from>
    <xdr:ext cx="381000" cy="2762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onsole.anthropic.com/" TargetMode="External"/><Relationship Id="rId2" Type="http://schemas.openxmlformats.org/officeDocument/2006/relationships/hyperlink" Target="https://workspace.google.com/marketplace/app/claude_for_sheets/909417792257" TargetMode="External"/><Relationship Id="rId3" Type="http://schemas.openxmlformats.org/officeDocument/2006/relationships/hyperlink" Target="https://docs.anthropic.com/claude/reference/getting-started-with-the-api"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jIxjzUWG-6xBVIa2ay6yDpLyeuOh_hR_ZB75a47KX_E/edit?usp=sharing"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anthropic.com/claude/docs/using-claude-for-sheets" TargetMode="External"/><Relationship Id="rId2" Type="http://schemas.openxmlformats.org/officeDocument/2006/relationships/hyperlink" Target="https://docs.anthropic.com/claude/docs/using-claude-for-sheets" TargetMode="External"/><Relationship Id="rId3" Type="http://schemas.openxmlformats.org/officeDocument/2006/relationships/hyperlink" Target="https://docs.anthropic.com/claude/docs/how-to-use-system-prompts"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ocs.anthropic.com/claude/docs/use-xml-tags"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docs.anthropic.com/claude/docs/minimizing-hallucinations" TargetMode="External"/><Relationship Id="rId2" Type="http://schemas.openxmlformats.org/officeDocument/2006/relationships/hyperlink" Target="https://docs.anthropic.com/claude/reference/messages_post" TargetMode="External"/><Relationship Id="rId3"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s://anthropic.com/cookbook" TargetMode="External"/><Relationship Id="rId2" Type="http://schemas.openxmlformats.org/officeDocument/2006/relationships/hyperlink" Target="https://docs.anthropic.com/claude/docs/prompt-engineering" TargetMode="External"/><Relationship Id="rId3" Type="http://schemas.openxmlformats.org/officeDocument/2006/relationships/hyperlink" Target="https://anthropic.com/prompts" TargetMode="External"/><Relationship Id="rId4" Type="http://schemas.openxmlformats.org/officeDocument/2006/relationships/hyperlink" Target="https://docs.anthropic.com/claude/docs/helper-metaprompt-experimental" TargetMode="External"/><Relationship Id="rId5" Type="http://schemas.openxmlformats.org/officeDocument/2006/relationships/hyperlink" Target="https://anthropic.com/discord" TargetMode="External"/><Relationship Id="rId6" Type="http://schemas.openxmlformats.org/officeDocument/2006/relationships/hyperlink" Target="https://docs.anthropic.com/claude/reference/complete_post" TargetMode="External"/><Relationship Id="rId7" Type="http://schemas.openxmlformats.org/officeDocument/2006/relationships/hyperlink" Target="https://www.promptingguide.ai/papers" TargetMode="External"/><Relationship Id="rId8"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docs.anthropic.com/claude/docs/chain-prompts" TargetMode="External"/><Relationship Id="rId2"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hyperlink" Target="https://docs.anthropic.com/claude/docs/functions-external-tools" TargetMode="External"/><Relationship Id="rId2"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https://github.com/anthropics/anthropic-cookbook/tree/main/third_party" TargetMode="External"/><Relationship Id="rId2"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outlinePr summaryBelow="0" summaryRight="0"/>
  </sheetPr>
  <sheetViews>
    <sheetView showGridLines="0" workbookViewId="0"/>
  </sheetViews>
  <sheetFormatPr customHeight="1" defaultColWidth="12.63" defaultRowHeight="15.75"/>
  <cols>
    <col customWidth="1" min="1" max="1" width="5.5"/>
    <col customWidth="1" min="2" max="2" width="1.88"/>
    <col customWidth="1" min="3" max="3" width="2.25"/>
    <col customWidth="1" min="4" max="4" width="11.63"/>
    <col customWidth="1" min="5" max="5" width="19.13"/>
    <col customWidth="1" min="6" max="6" width="32.38"/>
    <col customWidth="1" min="7" max="7" width="5.75"/>
    <col customWidth="1" min="8" max="8" width="34.38"/>
    <col customWidth="1" min="9" max="9" width="5.5"/>
  </cols>
  <sheetData>
    <row r="1" ht="32.25" customHeight="1">
      <c r="A1" s="1"/>
      <c r="B1" s="2" t="s">
        <v>0</v>
      </c>
      <c r="G1" s="3"/>
      <c r="H1" s="3"/>
      <c r="I1" s="3"/>
    </row>
    <row r="2" ht="21.75" customHeight="1"/>
    <row r="3" ht="49.5" customHeight="1">
      <c r="A3" s="4"/>
      <c r="B3" s="5" t="s">
        <v>1</v>
      </c>
      <c r="C3" s="6"/>
      <c r="D3" s="6"/>
      <c r="E3" s="6"/>
      <c r="F3" s="6"/>
      <c r="G3" s="6"/>
      <c r="H3" s="7"/>
      <c r="I3" s="4"/>
    </row>
    <row r="4" ht="21.75" customHeight="1"/>
    <row r="5">
      <c r="B5" s="8" t="s">
        <v>2</v>
      </c>
      <c r="C5" s="9"/>
      <c r="D5" s="9"/>
      <c r="E5" s="9"/>
      <c r="F5" s="9"/>
      <c r="G5" s="9"/>
      <c r="H5" s="10"/>
    </row>
    <row r="6">
      <c r="B6" s="11" t="s">
        <v>3</v>
      </c>
      <c r="H6" s="12"/>
    </row>
    <row r="7">
      <c r="B7" s="13"/>
      <c r="C7" s="14"/>
      <c r="D7" s="15" t="s">
        <v>4</v>
      </c>
      <c r="H7" s="12"/>
    </row>
    <row r="8">
      <c r="B8" s="13"/>
      <c r="C8" s="14"/>
      <c r="D8" s="14" t="s">
        <v>5</v>
      </c>
      <c r="H8" s="12"/>
    </row>
    <row r="9" ht="76.5" customHeight="1">
      <c r="B9" s="16"/>
      <c r="C9" s="14"/>
      <c r="D9" s="14"/>
      <c r="E9" s="14"/>
      <c r="F9" s="14"/>
      <c r="G9" s="14"/>
      <c r="H9" s="17"/>
    </row>
    <row r="10">
      <c r="B10" s="16"/>
      <c r="C10" s="14"/>
      <c r="D10" s="14"/>
      <c r="H10" s="12"/>
    </row>
    <row r="11">
      <c r="B11" s="16" t="s">
        <v>6</v>
      </c>
      <c r="C11" s="14"/>
      <c r="D11" s="14"/>
      <c r="E11" s="14"/>
      <c r="F11" s="14"/>
      <c r="G11" s="14"/>
      <c r="H11" s="17"/>
    </row>
    <row r="12">
      <c r="B12" s="13"/>
      <c r="C12" s="14"/>
      <c r="D12" s="14" t="s">
        <v>7</v>
      </c>
      <c r="H12" s="12"/>
    </row>
    <row r="13">
      <c r="B13" s="13"/>
      <c r="C13" s="14"/>
      <c r="D13" s="14" t="s">
        <v>8</v>
      </c>
      <c r="H13" s="12"/>
    </row>
    <row r="14" ht="86.25" customHeight="1">
      <c r="B14" s="13"/>
      <c r="C14" s="14"/>
      <c r="D14" s="14"/>
      <c r="E14" s="14"/>
      <c r="F14" s="14"/>
      <c r="G14" s="14"/>
      <c r="H14" s="17"/>
    </row>
    <row r="15">
      <c r="B15" s="13"/>
      <c r="C15" s="14"/>
      <c r="D15" s="14" t="s">
        <v>9</v>
      </c>
      <c r="H15" s="12"/>
    </row>
    <row r="16" ht="111.0" customHeight="1">
      <c r="B16" s="13"/>
      <c r="C16" s="14"/>
      <c r="D16" s="14"/>
      <c r="E16" s="14"/>
      <c r="F16" s="14"/>
      <c r="G16" s="14"/>
      <c r="H16" s="17"/>
    </row>
    <row r="17" ht="15.75" customHeight="1">
      <c r="B17" s="13" t="s">
        <v>10</v>
      </c>
      <c r="H17" s="12"/>
    </row>
    <row r="18" ht="15.75" customHeight="1">
      <c r="B18" s="13"/>
      <c r="C18" s="14"/>
      <c r="D18" s="18" t="s">
        <v>11</v>
      </c>
      <c r="H18" s="12"/>
    </row>
    <row r="19" ht="31.5" customHeight="1">
      <c r="B19" s="13"/>
      <c r="C19" s="14"/>
      <c r="D19" s="14" t="s">
        <v>12</v>
      </c>
      <c r="H19" s="12"/>
    </row>
    <row r="20" ht="94.5" customHeight="1">
      <c r="B20" s="13"/>
      <c r="C20" s="14"/>
      <c r="D20" s="14"/>
      <c r="E20" s="14"/>
      <c r="F20" s="14"/>
      <c r="G20" s="14"/>
      <c r="H20" s="17"/>
    </row>
    <row r="21" ht="94.5" customHeight="1">
      <c r="B21" s="13"/>
      <c r="C21" s="14"/>
      <c r="D21" s="14"/>
      <c r="E21" s="14"/>
      <c r="F21" s="14"/>
      <c r="G21" s="14"/>
      <c r="H21" s="17"/>
    </row>
    <row r="22" ht="5.25" customHeight="1">
      <c r="B22" s="19"/>
      <c r="C22" s="20"/>
      <c r="D22" s="20"/>
      <c r="E22" s="20"/>
      <c r="F22" s="20"/>
      <c r="G22" s="20"/>
      <c r="H22" s="21"/>
    </row>
    <row r="23" ht="21.75" customHeight="1"/>
    <row r="24">
      <c r="B24" s="8" t="s">
        <v>13</v>
      </c>
      <c r="C24" s="9"/>
      <c r="D24" s="9"/>
      <c r="E24" s="9"/>
      <c r="F24" s="9"/>
      <c r="G24" s="9"/>
      <c r="H24" s="10"/>
    </row>
    <row r="25">
      <c r="B25" s="13" t="s">
        <v>14</v>
      </c>
      <c r="H25" s="12"/>
    </row>
    <row r="26" ht="16.5" customHeight="1">
      <c r="B26" s="22"/>
      <c r="C26" s="23" t="s">
        <v>15</v>
      </c>
      <c r="H26" s="24"/>
    </row>
    <row r="27">
      <c r="B27" s="25"/>
      <c r="C27" s="26" t="s">
        <v>16</v>
      </c>
      <c r="H27" s="24"/>
    </row>
    <row r="28" ht="11.25" customHeight="1">
      <c r="B28" s="25"/>
      <c r="C28" s="26"/>
      <c r="H28" s="24"/>
    </row>
    <row r="29">
      <c r="B29" s="13" t="s">
        <v>17</v>
      </c>
      <c r="H29" s="12"/>
    </row>
    <row r="30">
      <c r="B30" s="13"/>
      <c r="C30" s="14" t="s">
        <v>18</v>
      </c>
      <c r="H30" s="12"/>
    </row>
    <row r="31">
      <c r="B31" s="25"/>
      <c r="C31" s="27" t="s">
        <v>19</v>
      </c>
      <c r="H31" s="12"/>
    </row>
    <row r="32" ht="11.25" customHeight="1">
      <c r="B32" s="25"/>
      <c r="H32" s="24"/>
    </row>
    <row r="33">
      <c r="B33" s="28" t="s">
        <v>20</v>
      </c>
      <c r="H33" s="12"/>
    </row>
    <row r="34" ht="10.5" customHeight="1">
      <c r="B34" s="28"/>
      <c r="C34" s="29"/>
      <c r="D34" s="29"/>
      <c r="E34" s="29"/>
      <c r="F34" s="29"/>
      <c r="G34" s="29"/>
      <c r="H34" s="30"/>
    </row>
    <row r="35">
      <c r="B35" s="31" t="s">
        <v>21</v>
      </c>
      <c r="C35" s="32"/>
      <c r="D35" s="32"/>
      <c r="E35" s="32"/>
      <c r="F35" s="32"/>
      <c r="G35" s="32"/>
      <c r="H35" s="33"/>
    </row>
    <row r="37" ht="21.75" customHeight="1">
      <c r="A37" s="34"/>
      <c r="B37" s="35" t="s">
        <v>22</v>
      </c>
      <c r="C37" s="36"/>
      <c r="D37" s="36"/>
      <c r="E37" s="36" t="s">
        <v>23</v>
      </c>
      <c r="F37" s="37"/>
      <c r="G37" s="38"/>
      <c r="H37" s="39"/>
      <c r="I37" s="34"/>
    </row>
    <row r="38">
      <c r="B38" s="40"/>
      <c r="C38" s="40"/>
      <c r="D38" s="40"/>
      <c r="E38" s="40"/>
      <c r="G38" s="41"/>
      <c r="H38" s="41"/>
    </row>
    <row r="39">
      <c r="B39" s="40"/>
      <c r="C39" s="40"/>
      <c r="D39" s="40"/>
      <c r="E39" s="40"/>
      <c r="G39" s="42" t="s">
        <v>24</v>
      </c>
    </row>
  </sheetData>
  <mergeCells count="18">
    <mergeCell ref="B1:F1"/>
    <mergeCell ref="B3:H3"/>
    <mergeCell ref="B6:H6"/>
    <mergeCell ref="D7:H7"/>
    <mergeCell ref="D8:H8"/>
    <mergeCell ref="D10:H10"/>
    <mergeCell ref="D12:H12"/>
    <mergeCell ref="C30:H30"/>
    <mergeCell ref="C31:H31"/>
    <mergeCell ref="B33:H33"/>
    <mergeCell ref="G39:H39"/>
    <mergeCell ref="D13:H13"/>
    <mergeCell ref="D15:H15"/>
    <mergeCell ref="B17:H17"/>
    <mergeCell ref="D18:H18"/>
    <mergeCell ref="D19:H19"/>
    <mergeCell ref="B25:H25"/>
    <mergeCell ref="B29:H29"/>
  </mergeCells>
  <hyperlinks>
    <hyperlink r:id="rId1" ref="B3"/>
    <hyperlink r:id="rId2" ref="D7"/>
    <hyperlink r:id="rId3" ref="D18"/>
    <hyperlink display="Introduction &amp; Table of Contents →" location="IntroTitle" ref="G39"/>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150.13"/>
  </cols>
  <sheetData>
    <row r="1">
      <c r="A1" s="26" t="s">
        <v>25</v>
      </c>
      <c r="B1" s="43"/>
      <c r="C1" s="44"/>
    </row>
    <row r="2">
      <c r="A2" s="26" t="s">
        <v>26</v>
      </c>
      <c r="B2" s="45" t="s">
        <v>27</v>
      </c>
      <c r="C2" s="26" t="s">
        <v>28</v>
      </c>
    </row>
    <row r="3">
      <c r="A3" s="23" t="s">
        <v>29</v>
      </c>
      <c r="B3" s="46" t="s">
        <v>30</v>
      </c>
      <c r="C3" s="23" t="s">
        <v>31</v>
      </c>
    </row>
    <row r="4">
      <c r="A4" s="23" t="s">
        <v>32</v>
      </c>
      <c r="B4" s="46" t="s">
        <v>33</v>
      </c>
      <c r="C4" s="23" t="s">
        <v>31</v>
      </c>
    </row>
    <row r="5">
      <c r="A5" s="23" t="s">
        <v>34</v>
      </c>
      <c r="B5" s="46" t="s">
        <v>35</v>
      </c>
      <c r="C5" s="23" t="s">
        <v>31</v>
      </c>
    </row>
    <row r="6">
      <c r="A6" s="23" t="s">
        <v>36</v>
      </c>
      <c r="B6" s="46" t="s">
        <v>35</v>
      </c>
      <c r="C6" s="23" t="s">
        <v>31</v>
      </c>
    </row>
    <row r="7">
      <c r="A7" s="23" t="s">
        <v>37</v>
      </c>
      <c r="B7" s="46" t="s">
        <v>38</v>
      </c>
      <c r="C7" s="23" t="s">
        <v>31</v>
      </c>
    </row>
    <row r="8">
      <c r="A8" s="23" t="s">
        <v>39</v>
      </c>
      <c r="B8" s="46" t="s">
        <v>40</v>
      </c>
      <c r="C8" s="23" t="s">
        <v>31</v>
      </c>
    </row>
    <row r="9">
      <c r="A9" s="23" t="s">
        <v>41</v>
      </c>
      <c r="B9" s="46" t="s">
        <v>42</v>
      </c>
      <c r="C9" s="23" t="s">
        <v>43</v>
      </c>
    </row>
    <row r="10">
      <c r="A10" s="23" t="s">
        <v>44</v>
      </c>
      <c r="B10" s="46" t="s">
        <v>45</v>
      </c>
      <c r="C10" s="23" t="s">
        <v>43</v>
      </c>
    </row>
    <row r="11">
      <c r="A11" s="23" t="s">
        <v>46</v>
      </c>
      <c r="B11" s="46" t="s">
        <v>47</v>
      </c>
      <c r="C11" s="23" t="s">
        <v>43</v>
      </c>
    </row>
    <row r="12">
      <c r="A12" s="23" t="s">
        <v>48</v>
      </c>
      <c r="B12" s="46" t="s">
        <v>49</v>
      </c>
      <c r="C12" s="23" t="s">
        <v>43</v>
      </c>
    </row>
    <row r="13">
      <c r="A13" s="23" t="s">
        <v>50</v>
      </c>
      <c r="B13" s="46" t="s">
        <v>51</v>
      </c>
      <c r="C13" s="23" t="s">
        <v>43</v>
      </c>
    </row>
    <row r="14">
      <c r="A14" s="23" t="s">
        <v>52</v>
      </c>
      <c r="B14" s="46" t="s">
        <v>53</v>
      </c>
      <c r="C14" s="23" t="s">
        <v>43</v>
      </c>
    </row>
    <row r="15">
      <c r="A15" s="23" t="s">
        <v>54</v>
      </c>
      <c r="B15" s="46" t="s">
        <v>55</v>
      </c>
      <c r="C15" s="23" t="s">
        <v>43</v>
      </c>
    </row>
    <row r="16">
      <c r="A16" s="23" t="s">
        <v>56</v>
      </c>
      <c r="B16" s="46" t="s">
        <v>57</v>
      </c>
      <c r="C16" s="23" t="s">
        <v>43</v>
      </c>
    </row>
    <row r="17">
      <c r="A17" s="23" t="s">
        <v>58</v>
      </c>
      <c r="B17" s="46" t="s">
        <v>59</v>
      </c>
      <c r="C17" s="23" t="s">
        <v>43</v>
      </c>
    </row>
    <row r="18">
      <c r="A18" s="23" t="s">
        <v>60</v>
      </c>
      <c r="B18" s="46" t="s">
        <v>61</v>
      </c>
      <c r="C18" s="23" t="s">
        <v>62</v>
      </c>
    </row>
    <row r="19">
      <c r="A19" s="23" t="s">
        <v>63</v>
      </c>
      <c r="B19" s="46" t="s">
        <v>64</v>
      </c>
      <c r="C19" s="23" t="s">
        <v>62</v>
      </c>
    </row>
    <row r="20">
      <c r="A20" s="23" t="s">
        <v>65</v>
      </c>
      <c r="B20" s="46" t="s">
        <v>66</v>
      </c>
      <c r="C20" s="23" t="s">
        <v>62</v>
      </c>
    </row>
    <row r="21">
      <c r="A21" s="23" t="s">
        <v>67</v>
      </c>
      <c r="B21" s="46" t="s">
        <v>68</v>
      </c>
      <c r="C21" s="23" t="s">
        <v>62</v>
      </c>
    </row>
    <row r="22">
      <c r="A22" s="23" t="s">
        <v>69</v>
      </c>
      <c r="B22" s="46" t="s">
        <v>70</v>
      </c>
      <c r="C22" s="23" t="s">
        <v>62</v>
      </c>
    </row>
    <row r="23">
      <c r="A23" s="23" t="s">
        <v>71</v>
      </c>
      <c r="B23" s="46" t="s">
        <v>72</v>
      </c>
      <c r="C23" s="23" t="s">
        <v>62</v>
      </c>
    </row>
    <row r="24">
      <c r="A24" s="23" t="s">
        <v>73</v>
      </c>
      <c r="B24" s="46" t="s">
        <v>74</v>
      </c>
      <c r="C24" s="23" t="s">
        <v>62</v>
      </c>
    </row>
    <row r="25">
      <c r="A25" s="23" t="s">
        <v>75</v>
      </c>
      <c r="B25" s="46" t="s">
        <v>76</v>
      </c>
      <c r="C25" s="23" t="s">
        <v>62</v>
      </c>
    </row>
    <row r="26">
      <c r="A26" s="23" t="s">
        <v>77</v>
      </c>
      <c r="B26" s="46" t="s">
        <v>78</v>
      </c>
      <c r="C26" s="23" t="s">
        <v>62</v>
      </c>
    </row>
    <row r="27">
      <c r="A27" s="23" t="s">
        <v>79</v>
      </c>
      <c r="B27" s="46" t="s">
        <v>80</v>
      </c>
      <c r="C27" s="23" t="s">
        <v>62</v>
      </c>
    </row>
    <row r="28">
      <c r="A28" s="23" t="s">
        <v>81</v>
      </c>
      <c r="B28" s="46" t="s">
        <v>82</v>
      </c>
      <c r="C28" s="23" t="s">
        <v>62</v>
      </c>
    </row>
    <row r="29">
      <c r="A29" s="23" t="s">
        <v>83</v>
      </c>
      <c r="B29" s="46" t="s">
        <v>84</v>
      </c>
      <c r="C29" s="23" t="s">
        <v>62</v>
      </c>
    </row>
    <row r="30">
      <c r="A30" s="23" t="s">
        <v>85</v>
      </c>
      <c r="B30" s="46" t="s">
        <v>86</v>
      </c>
      <c r="C30" s="23" t="s">
        <v>62</v>
      </c>
    </row>
    <row r="31">
      <c r="A31" s="23" t="s">
        <v>87</v>
      </c>
      <c r="B31" s="46" t="s">
        <v>88</v>
      </c>
      <c r="C31" s="23" t="s">
        <v>62</v>
      </c>
    </row>
    <row r="32">
      <c r="A32" s="23" t="s">
        <v>89</v>
      </c>
      <c r="B32" s="46" t="s">
        <v>90</v>
      </c>
      <c r="C32" s="23" t="s">
        <v>62</v>
      </c>
    </row>
    <row r="33">
      <c r="A33" s="23" t="s">
        <v>91</v>
      </c>
      <c r="B33" s="46" t="s">
        <v>92</v>
      </c>
      <c r="C33" s="23" t="s">
        <v>62</v>
      </c>
    </row>
    <row r="34">
      <c r="A34" s="23" t="s">
        <v>93</v>
      </c>
      <c r="B34" s="46" t="s">
        <v>94</v>
      </c>
      <c r="C34" s="23" t="s">
        <v>62</v>
      </c>
    </row>
    <row r="35">
      <c r="A35" s="23" t="s">
        <v>95</v>
      </c>
      <c r="B35" s="46" t="s">
        <v>96</v>
      </c>
      <c r="C35" s="23" t="s">
        <v>62</v>
      </c>
    </row>
    <row r="36">
      <c r="A36" s="23" t="s">
        <v>97</v>
      </c>
      <c r="B36" s="46" t="s">
        <v>98</v>
      </c>
      <c r="C36" s="23" t="s">
        <v>62</v>
      </c>
    </row>
    <row r="37">
      <c r="A37" s="23" t="s">
        <v>99</v>
      </c>
      <c r="B37" s="46" t="s">
        <v>100</v>
      </c>
      <c r="C37" s="23" t="s">
        <v>62</v>
      </c>
    </row>
    <row r="38">
      <c r="A38" s="23" t="s">
        <v>101</v>
      </c>
      <c r="B38" s="46" t="s">
        <v>102</v>
      </c>
      <c r="C38" s="23" t="s">
        <v>62</v>
      </c>
    </row>
    <row r="39">
      <c r="A39" s="23" t="s">
        <v>103</v>
      </c>
      <c r="B39" s="46" t="s">
        <v>104</v>
      </c>
      <c r="C39" s="23" t="s">
        <v>62</v>
      </c>
    </row>
    <row r="40">
      <c r="A40" s="23" t="s">
        <v>105</v>
      </c>
      <c r="B40" s="46" t="s">
        <v>106</v>
      </c>
      <c r="C40" s="23" t="s">
        <v>62</v>
      </c>
    </row>
    <row r="41">
      <c r="A41" s="23" t="s">
        <v>107</v>
      </c>
      <c r="B41" s="46" t="s">
        <v>108</v>
      </c>
      <c r="C41" s="23" t="s">
        <v>62</v>
      </c>
    </row>
    <row r="42">
      <c r="A42" s="23" t="s">
        <v>109</v>
      </c>
      <c r="B42" s="23" t="s">
        <v>110</v>
      </c>
      <c r="C42" s="23" t="s">
        <v>62</v>
      </c>
    </row>
    <row r="43">
      <c r="A43" s="23" t="s">
        <v>111</v>
      </c>
      <c r="B43" s="23" t="s">
        <v>112</v>
      </c>
      <c r="C43" s="23" t="s">
        <v>62</v>
      </c>
    </row>
    <row r="44">
      <c r="A44" s="23" t="s">
        <v>113</v>
      </c>
      <c r="B44" s="23" t="s">
        <v>114</v>
      </c>
      <c r="C44" s="23" t="s">
        <v>62</v>
      </c>
    </row>
    <row r="45">
      <c r="A45" s="23" t="s">
        <v>115</v>
      </c>
      <c r="B45" s="23" t="s">
        <v>116</v>
      </c>
      <c r="C45" s="23" t="s">
        <v>62</v>
      </c>
    </row>
    <row r="46">
      <c r="A46" s="23" t="s">
        <v>117</v>
      </c>
      <c r="B46" s="23" t="s">
        <v>118</v>
      </c>
      <c r="C46" s="23" t="s">
        <v>62</v>
      </c>
    </row>
    <row r="47">
      <c r="A47" s="23" t="s">
        <v>119</v>
      </c>
      <c r="B47" s="23" t="s">
        <v>120</v>
      </c>
      <c r="C47" s="23" t="s">
        <v>62</v>
      </c>
    </row>
    <row r="48">
      <c r="A48" s="23" t="s">
        <v>121</v>
      </c>
      <c r="B48" s="23" t="s">
        <v>122</v>
      </c>
      <c r="C48" s="23" t="s">
        <v>62</v>
      </c>
    </row>
    <row r="49">
      <c r="A49" s="23" t="s">
        <v>123</v>
      </c>
      <c r="B49" s="23" t="s">
        <v>124</v>
      </c>
      <c r="C49" s="23" t="s">
        <v>62</v>
      </c>
    </row>
    <row r="50">
      <c r="A50" s="23" t="s">
        <v>125</v>
      </c>
      <c r="B50" s="23" t="s">
        <v>126</v>
      </c>
      <c r="C50" s="23" t="s">
        <v>62</v>
      </c>
    </row>
    <row r="51">
      <c r="A51" s="23" t="s">
        <v>127</v>
      </c>
      <c r="B51" s="23" t="s">
        <v>128</v>
      </c>
      <c r="C51" s="23" t="s">
        <v>129</v>
      </c>
    </row>
    <row r="52">
      <c r="A52" s="23" t="s">
        <v>130</v>
      </c>
      <c r="B52" s="23" t="s">
        <v>131</v>
      </c>
      <c r="C52" s="23" t="s">
        <v>129</v>
      </c>
    </row>
    <row r="53">
      <c r="A53" s="23" t="s">
        <v>132</v>
      </c>
      <c r="B53" s="23" t="s">
        <v>76</v>
      </c>
      <c r="C53" s="23" t="s">
        <v>129</v>
      </c>
    </row>
    <row r="54">
      <c r="A54" s="23" t="s">
        <v>133</v>
      </c>
      <c r="B54" s="23" t="s">
        <v>134</v>
      </c>
      <c r="C54" s="23" t="s">
        <v>129</v>
      </c>
    </row>
    <row r="55">
      <c r="A55" s="23" t="s">
        <v>135</v>
      </c>
      <c r="B55" s="23" t="s">
        <v>136</v>
      </c>
      <c r="C55" s="23" t="s">
        <v>129</v>
      </c>
    </row>
    <row r="56">
      <c r="A56" s="23" t="s">
        <v>137</v>
      </c>
      <c r="B56" s="23" t="s">
        <v>138</v>
      </c>
      <c r="C56" s="23" t="s">
        <v>129</v>
      </c>
    </row>
    <row r="57">
      <c r="A57" s="23" t="s">
        <v>139</v>
      </c>
      <c r="B57" s="23" t="s">
        <v>140</v>
      </c>
      <c r="C57" s="23" t="s">
        <v>129</v>
      </c>
    </row>
    <row r="58">
      <c r="A58" s="23" t="s">
        <v>141</v>
      </c>
      <c r="B58" s="23" t="s">
        <v>142</v>
      </c>
      <c r="C58" s="23" t="s">
        <v>129</v>
      </c>
    </row>
    <row r="59">
      <c r="A59" s="23" t="s">
        <v>143</v>
      </c>
      <c r="B59" s="23" t="s">
        <v>144</v>
      </c>
      <c r="C59" s="23" t="s">
        <v>129</v>
      </c>
    </row>
    <row r="60">
      <c r="A60" s="23" t="s">
        <v>145</v>
      </c>
      <c r="B60" s="23" t="s">
        <v>146</v>
      </c>
      <c r="C60" s="23" t="s">
        <v>129</v>
      </c>
    </row>
    <row r="61">
      <c r="A61" s="23" t="s">
        <v>147</v>
      </c>
      <c r="B61" s="23" t="s">
        <v>148</v>
      </c>
      <c r="C61" s="23" t="s">
        <v>149</v>
      </c>
    </row>
    <row r="62">
      <c r="A62" s="23" t="s">
        <v>150</v>
      </c>
      <c r="B62" s="23" t="s">
        <v>151</v>
      </c>
      <c r="C62" s="23" t="s">
        <v>152</v>
      </c>
    </row>
    <row r="63">
      <c r="A63" s="23" t="s">
        <v>153</v>
      </c>
      <c r="B63" s="23" t="s">
        <v>154</v>
      </c>
      <c r="C63" s="23" t="s">
        <v>152</v>
      </c>
    </row>
    <row r="64">
      <c r="A64" s="23" t="s">
        <v>155</v>
      </c>
      <c r="B64" s="23" t="s">
        <v>156</v>
      </c>
      <c r="C64" s="23" t="s">
        <v>152</v>
      </c>
    </row>
    <row r="65">
      <c r="A65" s="23" t="s">
        <v>157</v>
      </c>
      <c r="B65" s="23" t="s">
        <v>158</v>
      </c>
      <c r="C65" s="23" t="s">
        <v>152</v>
      </c>
    </row>
    <row r="66">
      <c r="A66" s="23" t="s">
        <v>159</v>
      </c>
      <c r="B66" s="23" t="s">
        <v>160</v>
      </c>
      <c r="C66" s="23" t="s">
        <v>152</v>
      </c>
    </row>
    <row r="67">
      <c r="A67" s="23" t="s">
        <v>161</v>
      </c>
      <c r="B67" s="23" t="s">
        <v>162</v>
      </c>
      <c r="C67" s="23" t="s">
        <v>152</v>
      </c>
    </row>
    <row r="68">
      <c r="A68" s="23" t="s">
        <v>163</v>
      </c>
      <c r="B68" s="23" t="s">
        <v>164</v>
      </c>
      <c r="C68" s="23" t="s">
        <v>152</v>
      </c>
    </row>
    <row r="69">
      <c r="A69" s="23" t="s">
        <v>165</v>
      </c>
      <c r="B69" s="23" t="s">
        <v>166</v>
      </c>
      <c r="C69" s="23" t="s">
        <v>152</v>
      </c>
    </row>
    <row r="70">
      <c r="A70" s="23" t="s">
        <v>167</v>
      </c>
      <c r="B70" s="23" t="s">
        <v>168</v>
      </c>
      <c r="C70" s="23" t="s">
        <v>152</v>
      </c>
    </row>
    <row r="71">
      <c r="A71" s="23" t="s">
        <v>169</v>
      </c>
      <c r="B71" s="23" t="s">
        <v>170</v>
      </c>
      <c r="C71" s="23" t="s">
        <v>152</v>
      </c>
    </row>
    <row r="72">
      <c r="A72" s="23" t="s">
        <v>171</v>
      </c>
      <c r="B72" s="23" t="s">
        <v>172</v>
      </c>
      <c r="C72" s="23" t="s">
        <v>152</v>
      </c>
    </row>
    <row r="73">
      <c r="A73" s="23" t="s">
        <v>173</v>
      </c>
      <c r="B73" s="23" t="s">
        <v>174</v>
      </c>
      <c r="C73" s="23" t="s">
        <v>152</v>
      </c>
    </row>
    <row r="74">
      <c r="A74" s="23" t="s">
        <v>175</v>
      </c>
      <c r="B74" s="23" t="s">
        <v>176</v>
      </c>
      <c r="C74" s="23" t="s">
        <v>152</v>
      </c>
    </row>
    <row r="75">
      <c r="A75" s="23" t="s">
        <v>177</v>
      </c>
      <c r="B75" s="23" t="s">
        <v>178</v>
      </c>
      <c r="C75" s="23" t="s">
        <v>152</v>
      </c>
    </row>
    <row r="76">
      <c r="A76" s="23" t="s">
        <v>179</v>
      </c>
      <c r="B76" s="23" t="s">
        <v>180</v>
      </c>
      <c r="C76" s="23" t="s">
        <v>181</v>
      </c>
    </row>
    <row r="77">
      <c r="A77" s="23" t="s">
        <v>182</v>
      </c>
      <c r="B77" s="23" t="s">
        <v>183</v>
      </c>
      <c r="C77" s="23" t="s">
        <v>181</v>
      </c>
    </row>
    <row r="78">
      <c r="A78" s="23" t="s">
        <v>184</v>
      </c>
      <c r="B78" s="23" t="s">
        <v>185</v>
      </c>
      <c r="C78" s="23" t="s">
        <v>181</v>
      </c>
    </row>
    <row r="79">
      <c r="A79" s="23" t="s">
        <v>186</v>
      </c>
      <c r="B79" s="23" t="s">
        <v>187</v>
      </c>
      <c r="C79" s="23" t="s">
        <v>181</v>
      </c>
    </row>
    <row r="80">
      <c r="A80" s="23" t="s">
        <v>188</v>
      </c>
      <c r="B80" s="23" t="s">
        <v>189</v>
      </c>
      <c r="C80" s="23" t="s">
        <v>181</v>
      </c>
    </row>
    <row r="81">
      <c r="A81" s="23" t="s">
        <v>190</v>
      </c>
      <c r="B81" s="23" t="s">
        <v>191</v>
      </c>
      <c r="C81" s="23" t="s">
        <v>181</v>
      </c>
    </row>
    <row r="82">
      <c r="A82" s="23" t="s">
        <v>192</v>
      </c>
      <c r="B82" s="23" t="s">
        <v>193</v>
      </c>
      <c r="C82" s="23" t="s">
        <v>181</v>
      </c>
    </row>
    <row r="83">
      <c r="A83" s="23" t="s">
        <v>194</v>
      </c>
      <c r="B83" s="23" t="s">
        <v>195</v>
      </c>
      <c r="C83" s="23" t="s">
        <v>181</v>
      </c>
    </row>
    <row r="84">
      <c r="A84" s="23" t="s">
        <v>196</v>
      </c>
      <c r="B84" s="23" t="s">
        <v>197</v>
      </c>
      <c r="C84" s="23" t="s">
        <v>198</v>
      </c>
    </row>
    <row r="85">
      <c r="A85" s="23" t="s">
        <v>199</v>
      </c>
      <c r="B85" s="23" t="s">
        <v>200</v>
      </c>
      <c r="C85" s="23" t="s">
        <v>198</v>
      </c>
    </row>
    <row r="86">
      <c r="A86" s="23" t="s">
        <v>201</v>
      </c>
      <c r="B86" s="23" t="s">
        <v>202</v>
      </c>
      <c r="C86" s="23" t="s">
        <v>198</v>
      </c>
    </row>
    <row r="87">
      <c r="A87" s="23" t="s">
        <v>203</v>
      </c>
      <c r="B87" s="23" t="s">
        <v>204</v>
      </c>
      <c r="C87" s="23" t="s">
        <v>198</v>
      </c>
    </row>
    <row r="88">
      <c r="A88" s="23" t="s">
        <v>205</v>
      </c>
      <c r="B88" s="23" t="s">
        <v>206</v>
      </c>
      <c r="C88" s="23" t="s">
        <v>198</v>
      </c>
    </row>
    <row r="89">
      <c r="A89" s="23" t="s">
        <v>207</v>
      </c>
      <c r="B89" s="23" t="s">
        <v>208</v>
      </c>
      <c r="C89" s="23" t="s">
        <v>198</v>
      </c>
    </row>
    <row r="90">
      <c r="A90" s="23" t="s">
        <v>209</v>
      </c>
      <c r="B90" s="23" t="s">
        <v>210</v>
      </c>
      <c r="C90" s="23" t="s">
        <v>198</v>
      </c>
    </row>
    <row r="91">
      <c r="A91" s="23" t="s">
        <v>211</v>
      </c>
      <c r="B91" s="23" t="s">
        <v>212</v>
      </c>
      <c r="C91" s="23" t="s">
        <v>198</v>
      </c>
    </row>
    <row r="92">
      <c r="A92" s="23" t="s">
        <v>213</v>
      </c>
      <c r="B92" s="23" t="s">
        <v>214</v>
      </c>
      <c r="C92" s="23" t="s">
        <v>198</v>
      </c>
    </row>
    <row r="93">
      <c r="A93" s="23" t="s">
        <v>215</v>
      </c>
      <c r="B93" s="23" t="s">
        <v>212</v>
      </c>
      <c r="C93" s="23" t="s">
        <v>198</v>
      </c>
    </row>
    <row r="94">
      <c r="A94" s="23" t="s">
        <v>216</v>
      </c>
      <c r="B94" s="23" t="s">
        <v>212</v>
      </c>
      <c r="C94" s="23" t="s">
        <v>198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outlinePr summaryBelow="0" summaryRight="0"/>
  </sheetPr>
  <sheetViews>
    <sheetView showGridLines="0" workbookViewId="0"/>
  </sheetViews>
  <sheetFormatPr customHeight="1" defaultColWidth="12.63" defaultRowHeight="15.75"/>
  <cols>
    <col customWidth="1" min="1" max="1" width="7.75"/>
    <col customWidth="1" min="2" max="2" width="4.5"/>
    <col customWidth="1" min="3" max="3" width="1.13"/>
    <col customWidth="1" min="4" max="4" width="4.0"/>
    <col customWidth="1" min="8" max="8" width="76.5"/>
    <col customWidth="1" min="9" max="9" width="5.5"/>
  </cols>
  <sheetData>
    <row r="1" ht="37.5" customHeight="1">
      <c r="A1" s="1"/>
      <c r="B1" s="47" t="s">
        <v>217</v>
      </c>
      <c r="I1" s="3"/>
    </row>
    <row r="2" ht="21.75" customHeight="1"/>
    <row r="3">
      <c r="B3" s="8" t="s">
        <v>218</v>
      </c>
      <c r="C3" s="9"/>
      <c r="D3" s="9"/>
      <c r="E3" s="9"/>
      <c r="F3" s="9"/>
      <c r="G3" s="9"/>
      <c r="H3" s="10"/>
    </row>
    <row r="4">
      <c r="B4" s="19" t="s">
        <v>219</v>
      </c>
      <c r="C4" s="48"/>
      <c r="D4" s="48"/>
      <c r="E4" s="48"/>
      <c r="F4" s="48"/>
      <c r="G4" s="48"/>
      <c r="H4" s="49"/>
    </row>
    <row r="5" ht="21.75" customHeight="1"/>
    <row r="6">
      <c r="B6" s="8" t="s">
        <v>220</v>
      </c>
      <c r="C6" s="9"/>
      <c r="D6" s="9"/>
      <c r="E6" s="9"/>
      <c r="F6" s="9"/>
      <c r="G6" s="9"/>
      <c r="H6" s="10"/>
    </row>
    <row r="7">
      <c r="B7" s="50" t="s">
        <v>221</v>
      </c>
      <c r="H7" s="12"/>
    </row>
    <row r="8" ht="16.5" customHeight="1">
      <c r="B8" s="25"/>
      <c r="H8" s="24"/>
    </row>
    <row r="9">
      <c r="B9" s="51" t="s">
        <v>222</v>
      </c>
      <c r="C9" s="52"/>
      <c r="D9" s="53" t="s">
        <v>223</v>
      </c>
      <c r="E9" s="54"/>
      <c r="F9" s="54"/>
      <c r="G9" s="54"/>
      <c r="H9" s="55"/>
    </row>
    <row r="10">
      <c r="B10" s="56"/>
      <c r="D10" s="26"/>
      <c r="E10" s="57" t="s">
        <v>0</v>
      </c>
      <c r="H10" s="24"/>
    </row>
    <row r="11" ht="8.25" customHeight="1">
      <c r="B11" s="56"/>
      <c r="D11" s="26"/>
      <c r="H11" s="24"/>
    </row>
    <row r="12">
      <c r="B12" s="58" t="s">
        <v>224</v>
      </c>
      <c r="C12" s="52"/>
      <c r="D12" s="53" t="s">
        <v>225</v>
      </c>
      <c r="E12" s="54"/>
      <c r="F12" s="54"/>
      <c r="G12" s="54"/>
      <c r="H12" s="55"/>
    </row>
    <row r="13">
      <c r="B13" s="56"/>
      <c r="E13" s="57" t="s">
        <v>226</v>
      </c>
      <c r="H13" s="24"/>
    </row>
    <row r="14">
      <c r="B14" s="56"/>
      <c r="E14" s="57" t="s">
        <v>227</v>
      </c>
      <c r="H14" s="24"/>
    </row>
    <row r="15" ht="8.25" customHeight="1">
      <c r="B15" s="56"/>
      <c r="H15" s="24"/>
    </row>
    <row r="16">
      <c r="B16" s="56"/>
      <c r="D16" s="26" t="s">
        <v>228</v>
      </c>
      <c r="H16" s="12"/>
    </row>
    <row r="17">
      <c r="B17" s="56"/>
      <c r="E17" s="57" t="s">
        <v>226</v>
      </c>
      <c r="H17" s="24"/>
    </row>
    <row r="18">
      <c r="B18" s="56"/>
      <c r="E18" s="57" t="s">
        <v>227</v>
      </c>
      <c r="H18" s="24"/>
    </row>
    <row r="19" ht="8.25" customHeight="1">
      <c r="B19" s="56"/>
      <c r="H19" s="24"/>
    </row>
    <row r="20">
      <c r="B20" s="56"/>
      <c r="D20" s="26" t="s">
        <v>229</v>
      </c>
      <c r="H20" s="12"/>
    </row>
    <row r="21">
      <c r="B21" s="56"/>
      <c r="E21" s="57" t="s">
        <v>226</v>
      </c>
      <c r="H21" s="24"/>
    </row>
    <row r="22">
      <c r="B22" s="56"/>
      <c r="E22" s="57" t="s">
        <v>227</v>
      </c>
      <c r="H22" s="24"/>
    </row>
    <row r="23" ht="8.25" customHeight="1">
      <c r="B23" s="56"/>
      <c r="H23" s="24"/>
    </row>
    <row r="24">
      <c r="B24" s="59" t="s">
        <v>230</v>
      </c>
      <c r="C24" s="52"/>
      <c r="D24" s="53" t="s">
        <v>231</v>
      </c>
      <c r="E24" s="54"/>
      <c r="F24" s="54"/>
      <c r="G24" s="54"/>
      <c r="H24" s="55"/>
    </row>
    <row r="25">
      <c r="B25" s="56"/>
      <c r="E25" s="57" t="s">
        <v>226</v>
      </c>
      <c r="H25" s="24"/>
    </row>
    <row r="26">
      <c r="B26" s="56"/>
      <c r="E26" s="57" t="s">
        <v>227</v>
      </c>
      <c r="H26" s="24"/>
    </row>
    <row r="27" ht="8.25" customHeight="1">
      <c r="B27" s="56"/>
      <c r="H27" s="24"/>
    </row>
    <row r="28">
      <c r="B28" s="56"/>
      <c r="D28" s="26" t="s">
        <v>232</v>
      </c>
      <c r="H28" s="12"/>
    </row>
    <row r="29">
      <c r="B29" s="56"/>
      <c r="E29" s="57" t="s">
        <v>226</v>
      </c>
      <c r="H29" s="24"/>
    </row>
    <row r="30">
      <c r="B30" s="56"/>
      <c r="E30" s="57" t="s">
        <v>227</v>
      </c>
      <c r="H30" s="24"/>
    </row>
    <row r="31" ht="8.25" customHeight="1">
      <c r="B31" s="56"/>
      <c r="H31" s="24"/>
    </row>
    <row r="32">
      <c r="B32" s="56"/>
      <c r="D32" s="26" t="s">
        <v>233</v>
      </c>
      <c r="H32" s="12"/>
    </row>
    <row r="33">
      <c r="B33" s="56"/>
      <c r="E33" s="57" t="s">
        <v>226</v>
      </c>
      <c r="H33" s="24"/>
    </row>
    <row r="34">
      <c r="B34" s="56"/>
      <c r="E34" s="57" t="s">
        <v>227</v>
      </c>
      <c r="H34" s="24"/>
    </row>
    <row r="35" ht="8.25" customHeight="1">
      <c r="B35" s="56"/>
      <c r="H35" s="24"/>
    </row>
    <row r="36">
      <c r="B36" s="56"/>
      <c r="D36" s="26" t="s">
        <v>234</v>
      </c>
      <c r="H36" s="12"/>
    </row>
    <row r="37">
      <c r="B37" s="56"/>
      <c r="E37" s="57" t="s">
        <v>226</v>
      </c>
      <c r="H37" s="24"/>
    </row>
    <row r="38">
      <c r="B38" s="56"/>
      <c r="E38" s="57" t="s">
        <v>227</v>
      </c>
      <c r="H38" s="24"/>
    </row>
    <row r="39" ht="8.25" customHeight="1">
      <c r="B39" s="56"/>
      <c r="H39" s="24"/>
    </row>
    <row r="40">
      <c r="B40" s="60" t="s">
        <v>235</v>
      </c>
      <c r="C40" s="52"/>
      <c r="D40" s="53" t="s">
        <v>236</v>
      </c>
      <c r="E40" s="54"/>
      <c r="F40" s="54"/>
      <c r="G40" s="54"/>
      <c r="H40" s="55"/>
    </row>
    <row r="41">
      <c r="B41" s="56"/>
      <c r="E41" s="57" t="s">
        <v>226</v>
      </c>
      <c r="H41" s="24"/>
    </row>
    <row r="42">
      <c r="B42" s="56"/>
      <c r="E42" s="57" t="s">
        <v>227</v>
      </c>
      <c r="H42" s="24"/>
    </row>
    <row r="43" ht="8.25" customHeight="1">
      <c r="B43" s="56"/>
      <c r="H43" s="24"/>
    </row>
    <row r="44">
      <c r="B44" s="56"/>
      <c r="D44" s="26" t="s">
        <v>237</v>
      </c>
      <c r="H44" s="12"/>
    </row>
    <row r="45">
      <c r="B45" s="56"/>
      <c r="E45" s="57" t="s">
        <v>238</v>
      </c>
      <c r="H45" s="12"/>
    </row>
    <row r="46">
      <c r="B46" s="56"/>
      <c r="E46" s="57" t="s">
        <v>239</v>
      </c>
      <c r="H46" s="24"/>
    </row>
    <row r="47">
      <c r="B47" s="56"/>
      <c r="E47" s="57" t="s">
        <v>240</v>
      </c>
      <c r="H47" s="24"/>
    </row>
    <row r="48">
      <c r="B48" s="56"/>
      <c r="E48" s="57" t="s">
        <v>241</v>
      </c>
      <c r="H48" s="24"/>
    </row>
    <row r="49">
      <c r="B49" s="56"/>
      <c r="E49" s="57" t="s">
        <v>242</v>
      </c>
      <c r="G49" s="61"/>
      <c r="H49" s="24"/>
    </row>
    <row r="50" ht="8.25" customHeight="1">
      <c r="B50" s="56"/>
      <c r="H50" s="24"/>
    </row>
    <row r="51">
      <c r="B51" s="56"/>
      <c r="D51" s="26" t="s">
        <v>243</v>
      </c>
      <c r="H51" s="12"/>
    </row>
    <row r="52">
      <c r="B52" s="56"/>
      <c r="E52" s="57" t="s">
        <v>244</v>
      </c>
      <c r="G52" s="61"/>
      <c r="H52" s="62"/>
    </row>
    <row r="53">
      <c r="B53" s="56"/>
      <c r="E53" s="57" t="s">
        <v>245</v>
      </c>
      <c r="F53" s="61"/>
      <c r="G53" s="61"/>
      <c r="H53" s="62"/>
    </row>
    <row r="54">
      <c r="B54" s="56"/>
      <c r="E54" s="57" t="s">
        <v>246</v>
      </c>
      <c r="H54" s="12"/>
    </row>
    <row r="55" ht="8.25" customHeight="1">
      <c r="B55" s="63"/>
      <c r="C55" s="64"/>
      <c r="D55" s="64"/>
      <c r="E55" s="64"/>
      <c r="F55" s="64"/>
      <c r="G55" s="64"/>
      <c r="H55" s="65"/>
    </row>
    <row r="57">
      <c r="B57" s="66" t="s">
        <v>247</v>
      </c>
      <c r="G57" s="67"/>
      <c r="H57" s="42" t="s">
        <v>248</v>
      </c>
    </row>
  </sheetData>
  <mergeCells count="27">
    <mergeCell ref="D12:H12"/>
    <mergeCell ref="D16:H16"/>
    <mergeCell ref="B12:B23"/>
    <mergeCell ref="B24:B39"/>
    <mergeCell ref="B40:B55"/>
    <mergeCell ref="B1:H1"/>
    <mergeCell ref="B4:H4"/>
    <mergeCell ref="B7:H7"/>
    <mergeCell ref="B9:B11"/>
    <mergeCell ref="D9:H9"/>
    <mergeCell ref="E10:F10"/>
    <mergeCell ref="D20:H20"/>
    <mergeCell ref="E46:G46"/>
    <mergeCell ref="E47:G47"/>
    <mergeCell ref="E48:G48"/>
    <mergeCell ref="E49:F49"/>
    <mergeCell ref="D51:H51"/>
    <mergeCell ref="E52:F52"/>
    <mergeCell ref="E54:H54"/>
    <mergeCell ref="B57:F57"/>
    <mergeCell ref="D24:H24"/>
    <mergeCell ref="D28:H28"/>
    <mergeCell ref="D32:H32"/>
    <mergeCell ref="D36:H36"/>
    <mergeCell ref="D40:H40"/>
    <mergeCell ref="D44:H44"/>
    <mergeCell ref="E45:H45"/>
  </mergeCells>
  <hyperlinks>
    <hyperlink r:id="rId1" ref="B7"/>
    <hyperlink display="Tutorial How-To" location="'Tutorial How-To'!A1" ref="E10"/>
    <hyperlink display="Lesson" location="C1LessonTitle" ref="E13"/>
    <hyperlink display="Exercises" location="C1ExerciseTitle" ref="E14"/>
    <hyperlink display="Lesson" location="C2LessonTitle" ref="E17"/>
    <hyperlink display="Exercises" location="C2ExerciseTitle" ref="E18"/>
    <hyperlink display="Lesson" location="C3LessonTitle" ref="E21"/>
    <hyperlink display="Exercises" location="C3ExerciseTitle" ref="E22"/>
    <hyperlink display="Lesson" location="C4LessonTitle" ref="E25"/>
    <hyperlink display="Exercises" location="C4ExerciseTitle" ref="E26"/>
    <hyperlink display="Lesson" location="C5LessonTitle" ref="E29"/>
    <hyperlink display="Exercises" location="C5ExerciseTitle" ref="E30"/>
    <hyperlink display="Lesson" location="C6LessonTitle" ref="E33"/>
    <hyperlink display="Exercises" location="C6ExerciseTitle" ref="E34"/>
    <hyperlink display="Lesson" location="C7LessonTitle" ref="E37"/>
    <hyperlink display="Exercises" location="C7ExerciseTitle" ref="E38"/>
    <hyperlink display="Lesson" location="C8LessonTitle" ref="E41"/>
    <hyperlink display="Exercises" location="C8ExerciseTitle" ref="E42"/>
    <hyperlink display="Complex Prompts from Scratch - Chatbot" location="C9TemplateTitle" ref="E45"/>
    <hyperlink display="Complex Prompts for Legal Services" location="C9LegalTitle" ref="E46"/>
    <hyperlink display="Exercise: Complex Prompts for Financial Services" location="C9FinancialTitle" ref="E47"/>
    <hyperlink display="Exercise: Complex Prompts for Coding" location="C9CodingTitle" ref="E48"/>
    <hyperlink display="Congratulations &amp; Next Steps" location="C9CongratsTitle" ref="E49"/>
    <hyperlink display="Chaining Prompts" location="AppChainingTitle" ref="E52"/>
    <hyperlink display="Function Calling" location="AppFunctionTitle" ref="E53"/>
    <hyperlink display="Search &amp; Retrieval" location="App1Title" ref="E54"/>
    <hyperlink display="← Tutorial How-To" location="TutorialTitle" ref="B57"/>
    <hyperlink display="Chapter 1: Basic Prompt Structure →" location="C1LessonTitle" ref="H57"/>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showGridLines="0" workbookViewId="0"/>
  </sheetViews>
  <sheetFormatPr customHeight="1" defaultColWidth="12.63" defaultRowHeight="15.75"/>
  <cols>
    <col customWidth="1" min="1" max="1" width="5.5"/>
    <col customWidth="1" min="2" max="2" width="3.0"/>
    <col customWidth="1" min="3" max="3" width="40.13"/>
    <col customWidth="1" min="4" max="4" width="4.0"/>
    <col customWidth="1" min="5" max="5" width="48.5"/>
    <col customWidth="1" min="6" max="6" width="3.0"/>
    <col customWidth="1" min="7" max="7" width="5.5"/>
  </cols>
  <sheetData>
    <row r="1" ht="32.25" customHeight="1">
      <c r="A1" s="1"/>
      <c r="B1" s="2" t="s">
        <v>225</v>
      </c>
      <c r="F1" s="3"/>
      <c r="G1" s="3"/>
    </row>
    <row r="2" ht="21.75" customHeight="1"/>
    <row r="3" ht="21.75" customHeight="1">
      <c r="A3" s="23"/>
      <c r="B3" s="68" t="s">
        <v>249</v>
      </c>
    </row>
    <row r="4" ht="15.75" customHeight="1">
      <c r="A4" s="23"/>
      <c r="C4" s="69" t="s">
        <v>226</v>
      </c>
    </row>
    <row r="5" ht="15.75" customHeight="1">
      <c r="A5" s="23"/>
      <c r="C5" s="69" t="s">
        <v>250</v>
      </c>
    </row>
    <row r="6" ht="15.75" customHeight="1">
      <c r="A6" s="23" t="s">
        <v>251</v>
      </c>
      <c r="C6" s="69" t="s">
        <v>252</v>
      </c>
    </row>
    <row r="7" ht="33.75" customHeight="1"/>
    <row r="8" ht="29.25" customHeight="1">
      <c r="A8" s="70"/>
      <c r="B8" s="71" t="s">
        <v>226</v>
      </c>
      <c r="C8" s="72"/>
      <c r="D8" s="72"/>
      <c r="E8" s="73" t="s">
        <v>253</v>
      </c>
      <c r="F8" s="74"/>
      <c r="G8" s="70"/>
    </row>
    <row r="9">
      <c r="B9" s="75" t="s">
        <v>254</v>
      </c>
      <c r="F9" s="12"/>
    </row>
    <row r="10" ht="11.25" customHeight="1">
      <c r="B10" s="76"/>
      <c r="C10" s="77"/>
      <c r="D10" s="77"/>
      <c r="E10" s="77"/>
      <c r="F10" s="78"/>
    </row>
    <row r="11">
      <c r="B11" s="79" t="s">
        <v>255</v>
      </c>
      <c r="F11" s="12"/>
    </row>
    <row r="12" ht="15.75" customHeight="1">
      <c r="A12" s="70"/>
      <c r="B12" s="80"/>
      <c r="C12" s="81" t="s">
        <v>256</v>
      </c>
      <c r="D12" s="81"/>
      <c r="E12" s="81"/>
      <c r="F12" s="82"/>
      <c r="G12" s="70"/>
    </row>
    <row r="13" ht="15.75" customHeight="1">
      <c r="A13" s="70"/>
      <c r="B13" s="80"/>
      <c r="C13" s="81" t="s">
        <v>257</v>
      </c>
      <c r="D13" s="81"/>
      <c r="E13" s="81"/>
      <c r="F13" s="82"/>
      <c r="G13" s="70"/>
    </row>
    <row r="14" ht="15.75" customHeight="1">
      <c r="A14" s="70"/>
      <c r="B14" s="80"/>
      <c r="C14" s="83" t="s">
        <v>258</v>
      </c>
      <c r="F14" s="82"/>
      <c r="G14" s="70"/>
    </row>
    <row r="15" ht="39.0" customHeight="1">
      <c r="A15" s="84"/>
      <c r="B15" s="85" t="s">
        <v>259</v>
      </c>
      <c r="F15" s="12"/>
      <c r="G15" s="84"/>
    </row>
    <row r="16" ht="11.25" customHeight="1">
      <c r="B16" s="76"/>
      <c r="C16" s="77"/>
      <c r="D16" s="77"/>
      <c r="E16" s="77"/>
      <c r="F16" s="78"/>
    </row>
    <row r="17">
      <c r="B17" s="86" t="s">
        <v>260</v>
      </c>
      <c r="F17" s="12"/>
    </row>
    <row r="18" ht="11.25" customHeight="1">
      <c r="B18" s="76"/>
      <c r="C18" s="77"/>
      <c r="D18" s="77"/>
      <c r="E18" s="77"/>
      <c r="F18" s="78"/>
    </row>
    <row r="19">
      <c r="B19" s="87" t="s">
        <v>261</v>
      </c>
      <c r="C19" s="48"/>
      <c r="D19" s="48"/>
      <c r="E19" s="48"/>
      <c r="F19" s="49"/>
    </row>
    <row r="20" ht="33.75" customHeight="1">
      <c r="B20" s="9"/>
      <c r="C20" s="9"/>
      <c r="D20" s="9"/>
      <c r="E20" s="9"/>
      <c r="F20" s="9"/>
    </row>
    <row r="21" ht="29.25" customHeight="1">
      <c r="B21" s="71" t="s">
        <v>250</v>
      </c>
      <c r="C21" s="72"/>
      <c r="D21" s="72"/>
      <c r="E21" s="73" t="s">
        <v>253</v>
      </c>
      <c r="F21" s="74"/>
    </row>
    <row r="22">
      <c r="B22" s="88" t="s">
        <v>262</v>
      </c>
      <c r="F22" s="12"/>
    </row>
    <row r="23" ht="8.25" customHeight="1">
      <c r="B23" s="22"/>
      <c r="F23" s="24"/>
    </row>
    <row r="24">
      <c r="B24" s="25"/>
      <c r="C24" s="26" t="s">
        <v>263</v>
      </c>
      <c r="E24" s="26" t="s">
        <v>264</v>
      </c>
      <c r="F24" s="24"/>
    </row>
    <row r="25" ht="69.0" customHeight="1">
      <c r="B25" s="25"/>
      <c r="C25" s="89" t="s">
        <v>265</v>
      </c>
      <c r="D25" s="90" t="s">
        <v>266</v>
      </c>
      <c r="E25" s="91" t="str">
        <f>claudeMessages($C25,'Tutorial How-To'!$E$37,"temperature",0)</f>
        <v>I'm doing well, thanks for asking! As an AI assistant, I don't have feelings in the same way humans do, but I'm functioning properly and ready to assist you with any questions or tasks you may have. How can I help you today?</v>
      </c>
      <c r="G25" s="25"/>
    </row>
    <row r="26" ht="8.25" customHeight="1">
      <c r="B26" s="25"/>
      <c r="F26" s="12"/>
    </row>
    <row r="27" ht="103.5" customHeight="1">
      <c r="B27" s="25"/>
      <c r="C27" s="92" t="s">
        <v>267</v>
      </c>
      <c r="D27" s="90" t="s">
        <v>266</v>
      </c>
      <c r="E27" s="93" t="str">
        <f>claudeMessages($C27,'Tutorial How-To'!$E$37,"temperature",0)</f>
        <v>The color of the ocean can vary depending on a few factors:
- Depth - The ocean appears blue or bluish-green in deeper waters, but can appear more green, turquoise, or even gray in shallower coastal areas.
- Sunlight - The ocean reflects the color of the sky, so it can appear bluer on sunny days and more gray on overcast days.
- Sediment - Suspended sediment or plankton in the water can make the ocean appear more green, brown, or even reddish in some cases.
- Geographic location - Oceans in different parts of the world can have slightly different hues based on factors like latitude, currents, and local geology.
In general though, the predominant color of the open ocean is some shade of blue, ranging from deep navy to bright azure. This blue color is caused by the absorption and scattering of sunlight through the water.</v>
      </c>
      <c r="F27" s="24"/>
    </row>
    <row r="28" ht="103.5" customHeight="1">
      <c r="B28" s="25"/>
      <c r="C28" s="94"/>
      <c r="E28" s="94"/>
      <c r="F28" s="24"/>
    </row>
    <row r="29" ht="103.5" customHeight="1">
      <c r="B29" s="25"/>
      <c r="C29" s="95"/>
      <c r="E29" s="95"/>
      <c r="F29" s="24"/>
    </row>
    <row r="30" ht="8.25" customHeight="1">
      <c r="B30" s="25"/>
      <c r="F30" s="24"/>
    </row>
    <row r="31" ht="69.0" customHeight="1">
      <c r="B31" s="25"/>
      <c r="C31" s="89" t="s">
        <v>268</v>
      </c>
      <c r="D31" s="90" t="s">
        <v>266</v>
      </c>
      <c r="E31" s="91" t="str">
        <f>claudeMessages($C31,'Tutorial How-To'!$E$37,"temperature",0)</f>
        <v>Celine Dion was born on March 30, 1968.</v>
      </c>
      <c r="F31" s="24"/>
    </row>
    <row r="32" ht="22.5" customHeight="1">
      <c r="B32" s="25"/>
      <c r="F32" s="24"/>
    </row>
    <row r="33">
      <c r="B33" s="88" t="s">
        <v>269</v>
      </c>
      <c r="F33" s="12"/>
    </row>
    <row r="34" ht="8.25" customHeight="1">
      <c r="B34" s="25"/>
      <c r="F34" s="24"/>
    </row>
    <row r="35">
      <c r="B35" s="25"/>
      <c r="C35" s="26" t="s">
        <v>263</v>
      </c>
      <c r="E35" s="26" t="s">
        <v>264</v>
      </c>
      <c r="F35" s="24"/>
    </row>
    <row r="36" ht="71.25" customHeight="1">
      <c r="A36" s="96"/>
      <c r="B36" s="97"/>
      <c r="C36" s="98" t="s">
        <v>270</v>
      </c>
      <c r="D36" s="99" t="s">
        <v>266</v>
      </c>
      <c r="E36" s="100" t="str">
        <f>claudeMessages($C36,'Tutorial How-To'!$E$37,"temperature",0)</f>
        <v>⚠️=CLAUDEMESSAGES prompt should be in "User: ...
Assistant: ..." format, with "User: ..." first and a newline before each subsequent role. For newlines, press Ctrl/Cmd+Enter⚠️</v>
      </c>
      <c r="F36" s="101"/>
      <c r="G36" s="96"/>
    </row>
    <row r="37" ht="71.25" customHeight="1">
      <c r="A37" s="96"/>
      <c r="B37" s="97"/>
      <c r="C37" s="95"/>
      <c r="E37" s="102"/>
      <c r="F37" s="101"/>
      <c r="G37" s="96"/>
    </row>
    <row r="38" ht="22.5" customHeight="1">
      <c r="B38" s="25"/>
      <c r="F38" s="24"/>
    </row>
    <row r="39">
      <c r="B39" s="103" t="s">
        <v>271</v>
      </c>
      <c r="F39" s="12"/>
    </row>
    <row r="40" ht="8.25" customHeight="1">
      <c r="B40" s="25"/>
      <c r="F40" s="24"/>
    </row>
    <row r="41">
      <c r="B41" s="25"/>
      <c r="C41" s="26" t="s">
        <v>263</v>
      </c>
      <c r="E41" s="26" t="s">
        <v>264</v>
      </c>
      <c r="F41" s="24"/>
    </row>
    <row r="42" ht="63.75" customHeight="1">
      <c r="B42" s="25"/>
      <c r="C42" s="104" t="s">
        <v>272</v>
      </c>
      <c r="D42" s="99" t="s">
        <v>266</v>
      </c>
      <c r="E42" s="104" t="str">
        <f>claudeMessages($C42,'Tutorial How-To'!$E$37,"temperature",0)</f>
        <v>Celine Dion was born on March 30, 1968 in Charlemagne, Quebec, Canada.
Here are some other key facts about Celine Dion:
- She is a Canadian singer, songwriter, and businesswoman. She is one of the most successful and influential pop singers of all time.
- She first gained international fame in the 1990s with her album "Falling Into You" and the theme song for the film "Titanic" called "My Heart Will Go On", which became one of the best-selling singles of all time.
- She has won numerous awards throughout her career, including 5 Grammy Awards, 2 Academy Awards, 7 American Music Awards, and 20 Juno Awards (Canada's top music awards).
- She has released 27 studio albums in her career and has sold over 200 million records worldwide, making her one of the best-selling music artists of all time.
- In addition to her music career, she has also ventured into acting, appearing in films like "Titanic" and "Quest for Camelot".
- She is known for her powerful, technically skilled vocals and her ability to perform a wide range of musical genres including pop, rock, R&amp;B, and classical.
- Celine Dion has been married to her manager René Angélil since 1994. They have 3 children together.</v>
      </c>
      <c r="F42" s="24"/>
    </row>
    <row r="43" ht="22.5" customHeight="1">
      <c r="B43" s="25"/>
      <c r="F43" s="24"/>
    </row>
    <row r="44">
      <c r="B44" s="103" t="s">
        <v>273</v>
      </c>
      <c r="F44" s="12"/>
    </row>
    <row r="45" ht="8.25" customHeight="1">
      <c r="B45" s="25"/>
      <c r="F45" s="24"/>
    </row>
    <row r="46">
      <c r="B46" s="25"/>
      <c r="C46" s="26" t="s">
        <v>263</v>
      </c>
      <c r="E46" s="26" t="s">
        <v>264</v>
      </c>
      <c r="F46" s="24"/>
    </row>
    <row r="47" ht="78.0" customHeight="1">
      <c r="B47" s="25"/>
      <c r="C47" s="98" t="s">
        <v>274</v>
      </c>
      <c r="D47" s="99" t="s">
        <v>266</v>
      </c>
      <c r="E47" s="98" t="str">
        <f>claudeMessages($C47,'Tutorial How-To'!$E$37,"temperature",0)</f>
        <v>⚠️=CLAUDEMESSAGES prompt should be in "User: ...
Assistant: ..." format, with "User: ..." first and a newline before each subsequent role. For newlines, press Ctrl/Cmd+Enter⚠️</v>
      </c>
      <c r="F47" s="24"/>
    </row>
    <row r="48" ht="78.0" customHeight="1">
      <c r="B48" s="25"/>
      <c r="C48" s="94"/>
      <c r="E48" s="94"/>
      <c r="F48" s="24"/>
    </row>
    <row r="49" ht="78.0" customHeight="1">
      <c r="B49" s="25"/>
      <c r="C49" s="95"/>
      <c r="E49" s="95"/>
      <c r="F49" s="24"/>
    </row>
    <row r="50" ht="22.5" customHeight="1">
      <c r="B50" s="25"/>
      <c r="F50" s="24"/>
    </row>
    <row r="51">
      <c r="B51" s="88" t="s">
        <v>275</v>
      </c>
      <c r="F51" s="12"/>
    </row>
    <row r="52" ht="11.25" customHeight="1">
      <c r="B52" s="76"/>
      <c r="C52" s="77"/>
      <c r="D52" s="77"/>
      <c r="E52" s="77"/>
      <c r="F52" s="78"/>
    </row>
    <row r="53">
      <c r="B53" s="88" t="s">
        <v>276</v>
      </c>
      <c r="F53" s="12"/>
    </row>
    <row r="54" ht="11.25" customHeight="1">
      <c r="B54" s="76"/>
      <c r="C54" s="77"/>
      <c r="D54" s="77"/>
      <c r="E54" s="77"/>
      <c r="F54" s="78"/>
    </row>
    <row r="55">
      <c r="A55" s="105"/>
      <c r="B55" s="106" t="s">
        <v>277</v>
      </c>
      <c r="F55" s="12"/>
      <c r="G55" s="107"/>
    </row>
    <row r="56" ht="8.25" customHeight="1">
      <c r="A56" s="105"/>
      <c r="B56" s="107"/>
      <c r="C56" s="107"/>
      <c r="D56" s="107"/>
      <c r="E56" s="107"/>
      <c r="F56" s="105"/>
      <c r="G56" s="107"/>
    </row>
    <row r="57" ht="16.5" customHeight="1">
      <c r="A57" s="105"/>
      <c r="B57" s="107"/>
      <c r="C57" s="108" t="s">
        <v>278</v>
      </c>
      <c r="D57" s="107"/>
      <c r="E57" s="109" t="s">
        <v>264</v>
      </c>
      <c r="F57" s="105"/>
      <c r="G57" s="107"/>
    </row>
    <row r="58" ht="80.25" customHeight="1">
      <c r="A58" s="105"/>
      <c r="B58" s="110"/>
      <c r="C58" s="111" t="s">
        <v>279</v>
      </c>
      <c r="D58" s="112" t="s">
        <v>266</v>
      </c>
      <c r="E58" s="93" t="str">
        <f>claudeMessages($C62,'Tutorial How-To'!$E$37,"temperature",0, "system", C58)</f>
        <v>Here are some critical thinking questions to further explore why the sky appears blue:
- What is the composition of the Earth's atmosphere, and how does that affect the way light interacts with it?
- How do different wavelengths of light behave as they pass through the atmosphere?
- What is the process known as Rayleigh scattering, and how does it contribute to the blue appearance of the sky?
- How do factors like the time of day, weather conditions, and location on Earth impact the color of the sky?
- What other celestial bodies in our solar system have skies of different colors, and what might explain those differences?
- How have our scientific understandings of the sky's color changed over time as our knowledge of optics and atmospheric science has advanced?
Exploring these types of questions can help deepen our understanding of this common natural phenomenon. Let me know if you have any other thoughts or reflections on this topic.</v>
      </c>
      <c r="F58" s="105"/>
      <c r="G58" s="107"/>
    </row>
    <row r="59" ht="80.25" customHeight="1">
      <c r="A59" s="105"/>
      <c r="B59" s="107"/>
      <c r="C59" s="95"/>
      <c r="D59" s="113"/>
      <c r="E59" s="94"/>
      <c r="F59" s="105"/>
      <c r="G59" s="107"/>
    </row>
    <row r="60" ht="8.25" customHeight="1">
      <c r="A60" s="105"/>
      <c r="B60" s="107"/>
      <c r="C60" s="114"/>
      <c r="D60" s="113"/>
      <c r="E60" s="94"/>
      <c r="F60" s="105"/>
      <c r="G60" s="107"/>
    </row>
    <row r="61" ht="16.5" customHeight="1">
      <c r="A61" s="105"/>
      <c r="B61" s="107"/>
      <c r="C61" s="108" t="s">
        <v>263</v>
      </c>
      <c r="D61" s="113"/>
      <c r="E61" s="94"/>
      <c r="F61" s="105"/>
      <c r="G61" s="107"/>
    </row>
    <row r="62" ht="80.25" customHeight="1">
      <c r="A62" s="105"/>
      <c r="B62" s="110"/>
      <c r="C62" s="115" t="s">
        <v>280</v>
      </c>
      <c r="D62" s="113"/>
      <c r="E62" s="95"/>
      <c r="F62" s="105"/>
      <c r="G62" s="107"/>
    </row>
    <row r="63" ht="11.25" customHeight="1">
      <c r="A63" s="105"/>
      <c r="B63" s="107"/>
      <c r="C63" s="107"/>
      <c r="D63" s="107"/>
      <c r="E63" s="107"/>
      <c r="F63" s="105"/>
      <c r="G63" s="107"/>
    </row>
    <row r="64">
      <c r="A64" s="105"/>
      <c r="B64" s="116" t="s">
        <v>281</v>
      </c>
      <c r="F64" s="12"/>
      <c r="G64" s="107"/>
    </row>
    <row r="65" ht="11.25" customHeight="1">
      <c r="B65" s="76"/>
      <c r="C65" s="77"/>
      <c r="D65" s="77"/>
      <c r="E65" s="77"/>
      <c r="F65" s="78"/>
    </row>
    <row r="66" ht="29.25" customHeight="1">
      <c r="B66" s="117" t="s">
        <v>282</v>
      </c>
      <c r="C66" s="48"/>
      <c r="D66" s="48"/>
      <c r="E66" s="48"/>
      <c r="F66" s="49"/>
    </row>
    <row r="67" ht="15.75" customHeight="1"/>
    <row r="68" ht="15.75" customHeight="1">
      <c r="E68" s="42" t="s">
        <v>283</v>
      </c>
    </row>
    <row r="69" ht="33.75" customHeight="1"/>
    <row r="70" ht="29.25" customHeight="1">
      <c r="B70" s="71" t="s">
        <v>252</v>
      </c>
      <c r="C70" s="72"/>
      <c r="D70" s="72"/>
      <c r="E70" s="73" t="s">
        <v>253</v>
      </c>
      <c r="F70" s="74"/>
    </row>
    <row r="71">
      <c r="B71" s="88" t="s">
        <v>284</v>
      </c>
      <c r="F71" s="12"/>
    </row>
    <row r="72" ht="8.25" customHeight="1">
      <c r="B72" s="22"/>
      <c r="F72" s="24"/>
    </row>
    <row r="73">
      <c r="B73" s="25"/>
      <c r="C73" s="26" t="s">
        <v>263</v>
      </c>
      <c r="E73" s="26" t="s">
        <v>264</v>
      </c>
      <c r="F73" s="24"/>
    </row>
    <row r="74" ht="69.0" customHeight="1">
      <c r="B74" s="25"/>
      <c r="C74" s="89" t="s">
        <v>265</v>
      </c>
      <c r="D74" s="90" t="s">
        <v>266</v>
      </c>
      <c r="E74" s="91" t="str">
        <f>claudeMessages($C74,'Tutorial How-To'!$E$37,"temperature",0)</f>
        <v>I'm doing well, thanks for asking! As an AI assistant, I don't have feelings in the same way humans do, but I'm functioning properly and ready to assist you with any questions or tasks you may have. How can I help you today?</v>
      </c>
      <c r="G74" s="25"/>
    </row>
    <row r="75" ht="8.25" customHeight="1">
      <c r="B75" s="25"/>
      <c r="F75" s="12"/>
    </row>
    <row r="76" ht="103.5" customHeight="1">
      <c r="B76" s="25"/>
      <c r="C76" s="92" t="s">
        <v>267</v>
      </c>
      <c r="D76" s="90" t="s">
        <v>266</v>
      </c>
      <c r="E76" s="93" t="str">
        <f>claudeMessages($C76,'Tutorial How-To'!$E$37,"temperature",0)</f>
        <v>The color of the ocean can vary depending on a few factors:
- Depth - The ocean appears blue or bluish-green in deeper waters, but can appear more green, turquoise, or even gray in shallower coastal areas.
- Sunlight - The ocean reflects the color of the sky, so it can appear bluer on sunny days and more gray on overcast days.
- Sediment - Suspended sediment or plankton in the water can make the ocean appear more green, brown, or even reddish in some cases.
- Geographic location - Oceans in different parts of the world can have slightly different hues based on factors like latitude, currents, and local geology.
In general though, the predominant color of the open ocean is some shade of blue, ranging from deep navy to bright azure. This blue color is caused by the absorption and scattering of sunlight through the water.</v>
      </c>
      <c r="F76" s="24"/>
    </row>
    <row r="77" ht="103.5" customHeight="1">
      <c r="B77" s="25"/>
      <c r="C77" s="94"/>
      <c r="E77" s="94"/>
      <c r="F77" s="24"/>
    </row>
    <row r="78" ht="103.5" customHeight="1">
      <c r="B78" s="25"/>
      <c r="C78" s="95"/>
      <c r="E78" s="95"/>
      <c r="F78" s="24"/>
    </row>
    <row r="79" ht="8.25" customHeight="1">
      <c r="B79" s="25"/>
      <c r="F79" s="24"/>
    </row>
    <row r="80" ht="69.0" customHeight="1">
      <c r="B80" s="25"/>
      <c r="C80" s="89" t="s">
        <v>268</v>
      </c>
      <c r="D80" s="90" t="s">
        <v>266</v>
      </c>
      <c r="E80" s="91" t="str">
        <f>claudeMessages($C80,'Tutorial How-To'!$E$37,"temperature",0)</f>
        <v>Celine Dion was born on March 30, 1968.</v>
      </c>
      <c r="F80" s="24"/>
    </row>
    <row r="81" ht="8.25" customHeight="1">
      <c r="B81" s="25"/>
      <c r="F81" s="12"/>
    </row>
    <row r="82" ht="71.25" customHeight="1">
      <c r="A82" s="96"/>
      <c r="B82" s="97"/>
      <c r="C82" s="98" t="s">
        <v>270</v>
      </c>
      <c r="D82" s="99" t="s">
        <v>266</v>
      </c>
      <c r="E82" s="100" t="str">
        <f>claudeMessages($C82,'Tutorial How-To'!$E$37,"temperature",0)</f>
        <v>⚠️=CLAUDEMESSAGES prompt should be in "User: ...
Assistant: ..." format, with "User: ..." first and a newline before each subsequent role. For newlines, press Ctrl/Cmd+Enter⚠️</v>
      </c>
      <c r="F82" s="101"/>
      <c r="G82" s="96"/>
    </row>
    <row r="83" ht="71.25" customHeight="1">
      <c r="A83" s="96"/>
      <c r="B83" s="97"/>
      <c r="C83" s="95"/>
      <c r="E83" s="102"/>
      <c r="F83" s="101"/>
      <c r="G83" s="96"/>
    </row>
    <row r="84" ht="8.25" customHeight="1">
      <c r="B84" s="25"/>
      <c r="F84" s="24"/>
    </row>
    <row r="85" ht="63.75" customHeight="1">
      <c r="B85" s="25"/>
      <c r="C85" s="104" t="s">
        <v>272</v>
      </c>
      <c r="D85" s="99" t="s">
        <v>266</v>
      </c>
      <c r="E85" s="104" t="str">
        <f>claudeMessages($C85,'Tutorial How-To'!$E$37,"temperature",0)</f>
        <v>Celine Dion was born on March 30, 1968 in Charlemagne, Quebec, Canada.
Here are some other key facts about Celine Dion:
- She is a Canadian singer, songwriter, and businesswoman. She is one of the most successful and influential pop singers of all time.
- She first gained international fame in the 1990s with her album "Falling Into You" and the theme song for the film "Titanic" called "My Heart Will Go On", which became one of the best-selling singles of all time.
- She has won numerous awards throughout her career, including 5 Grammy Awards, 2 Academy Awards, 7 American Music Awards, and 20 Juno Awards (Canada's top music awards).
- She has released 27 studio albums in her career and has sold over 200 million records worldwide, making her one of the best-selling music artists of all time.
- In addition to her music career, she has also ventured into acting, appearing in films like "Titanic" and "Quest for Camelot".
- She is known for her powerful, technically skilled vocals and her ability to perform a wide range of musical genres including pop, rock, R&amp;B, and classical.
- Celine Dion has been married to her manager René Angélil since 1994. They have 3 children together.</v>
      </c>
      <c r="F85" s="24"/>
    </row>
    <row r="86" ht="8.25" customHeight="1">
      <c r="B86" s="25"/>
      <c r="F86" s="24"/>
    </row>
    <row r="87" ht="78.0" customHeight="1">
      <c r="B87" s="25"/>
      <c r="C87" s="98" t="s">
        <v>274</v>
      </c>
      <c r="D87" s="99" t="s">
        <v>266</v>
      </c>
      <c r="E87" s="98" t="str">
        <f>claudeMessages($C87,'Tutorial How-To'!$E$37,"temperature",0)</f>
        <v>⚠️=CLAUDEMESSAGES prompt should be in "User: ...
Assistant: ..." format, with "User: ..." first and a newline before each subsequent role. For newlines, press Ctrl/Cmd+Enter⚠️</v>
      </c>
      <c r="F87" s="24"/>
    </row>
    <row r="88" ht="78.0" customHeight="1">
      <c r="B88" s="25"/>
      <c r="C88" s="94"/>
      <c r="E88" s="94"/>
      <c r="F88" s="24"/>
    </row>
    <row r="89" ht="78.0" customHeight="1">
      <c r="B89" s="25"/>
      <c r="C89" s="95"/>
      <c r="E89" s="95"/>
      <c r="F89" s="24"/>
    </row>
    <row r="90" ht="8.25" customHeight="1">
      <c r="B90" s="25"/>
      <c r="F90" s="24"/>
    </row>
    <row r="91" ht="16.5" customHeight="1">
      <c r="A91" s="105"/>
      <c r="B91" s="107"/>
      <c r="C91" s="108" t="s">
        <v>278</v>
      </c>
      <c r="D91" s="107"/>
      <c r="E91" s="109" t="s">
        <v>264</v>
      </c>
      <c r="F91" s="105"/>
      <c r="G91" s="107"/>
    </row>
    <row r="92" ht="80.25" customHeight="1">
      <c r="A92" s="105"/>
      <c r="B92" s="110"/>
      <c r="C92" s="111" t="s">
        <v>279</v>
      </c>
      <c r="D92" s="112" t="s">
        <v>266</v>
      </c>
      <c r="E92" s="93" t="str">
        <f>claudeMessages($C96,'Tutorial How-To'!$E$37,"temperature",0, "system", C92)</f>
        <v>Here are some critical thinking questions to further explore why the sky appears blue:
- What is the composition of the Earth's atmosphere, and how does that affect the way light interacts with it?
- How do different wavelengths of light behave as they pass through the atmosphere?
- What is the process known as Rayleigh scattering, and how does it contribute to the blue appearance of the sky?
- How do factors like the time of day, weather conditions, and location on Earth impact the color of the sky?
- What other celestial bodies in our solar system have skies of different colors, and what might explain those differences?
- How have our scientific understandings of the sky's color changed over time as our knowledge of optics and atmospheric science has advanced?
Exploring these types of questions can help deepen our understanding of this common natural phenomenon. Let me know if you have any other thoughts or reflections on this topic.</v>
      </c>
      <c r="F92" s="105"/>
      <c r="G92" s="107"/>
    </row>
    <row r="93" ht="80.25" customHeight="1">
      <c r="A93" s="105"/>
      <c r="B93" s="107"/>
      <c r="C93" s="95"/>
      <c r="D93" s="113"/>
      <c r="E93" s="94"/>
      <c r="F93" s="105"/>
      <c r="G93" s="107"/>
    </row>
    <row r="94" ht="8.25" customHeight="1">
      <c r="A94" s="105"/>
      <c r="B94" s="107"/>
      <c r="C94" s="114"/>
      <c r="D94" s="113"/>
      <c r="E94" s="94"/>
      <c r="F94" s="105"/>
      <c r="G94" s="107"/>
    </row>
    <row r="95" ht="16.5" customHeight="1">
      <c r="A95" s="105"/>
      <c r="B95" s="107"/>
      <c r="C95" s="108" t="s">
        <v>263</v>
      </c>
      <c r="D95" s="113"/>
      <c r="E95" s="94"/>
      <c r="F95" s="105"/>
      <c r="G95" s="107"/>
    </row>
    <row r="96" ht="80.25" customHeight="1">
      <c r="A96" s="105"/>
      <c r="B96" s="110"/>
      <c r="C96" s="115" t="s">
        <v>280</v>
      </c>
      <c r="D96" s="113"/>
      <c r="E96" s="95"/>
      <c r="F96" s="105"/>
      <c r="G96" s="107"/>
    </row>
    <row r="97">
      <c r="B97" s="118"/>
      <c r="C97" s="64"/>
      <c r="D97" s="64"/>
      <c r="E97" s="64"/>
      <c r="F97" s="65"/>
    </row>
    <row r="99">
      <c r="B99" s="119" t="s">
        <v>285</v>
      </c>
      <c r="D99" s="120"/>
      <c r="E99" s="42" t="s">
        <v>283</v>
      </c>
    </row>
    <row r="100" ht="8.25" customHeight="1"/>
    <row r="101">
      <c r="B101" s="121" t="s">
        <v>253</v>
      </c>
    </row>
    <row r="102">
      <c r="B102" s="121" t="s">
        <v>286</v>
      </c>
    </row>
  </sheetData>
  <mergeCells count="56">
    <mergeCell ref="B1:E1"/>
    <mergeCell ref="B3:C3"/>
    <mergeCell ref="B8:D8"/>
    <mergeCell ref="E8:F8"/>
    <mergeCell ref="B9:F9"/>
    <mergeCell ref="B11:F11"/>
    <mergeCell ref="C14:E14"/>
    <mergeCell ref="B15:F15"/>
    <mergeCell ref="B17:F17"/>
    <mergeCell ref="B19:F19"/>
    <mergeCell ref="B21:D21"/>
    <mergeCell ref="E21:F21"/>
    <mergeCell ref="B22:F22"/>
    <mergeCell ref="B26:F26"/>
    <mergeCell ref="C27:C29"/>
    <mergeCell ref="D27:D29"/>
    <mergeCell ref="E27:E29"/>
    <mergeCell ref="B33:F33"/>
    <mergeCell ref="C36:C37"/>
    <mergeCell ref="D36:D37"/>
    <mergeCell ref="E36:E37"/>
    <mergeCell ref="B39:F39"/>
    <mergeCell ref="B44:F44"/>
    <mergeCell ref="D47:D49"/>
    <mergeCell ref="E47:E49"/>
    <mergeCell ref="B51:F51"/>
    <mergeCell ref="B53:F53"/>
    <mergeCell ref="B55:F55"/>
    <mergeCell ref="C47:C49"/>
    <mergeCell ref="C58:C59"/>
    <mergeCell ref="D58:D62"/>
    <mergeCell ref="E58:E62"/>
    <mergeCell ref="B64:F64"/>
    <mergeCell ref="B66:F66"/>
    <mergeCell ref="E68:F68"/>
    <mergeCell ref="B70:D70"/>
    <mergeCell ref="E70:F70"/>
    <mergeCell ref="B71:F71"/>
    <mergeCell ref="B75:F75"/>
    <mergeCell ref="D76:D78"/>
    <mergeCell ref="E76:E78"/>
    <mergeCell ref="B81:F81"/>
    <mergeCell ref="D87:D89"/>
    <mergeCell ref="D92:D96"/>
    <mergeCell ref="B99:C99"/>
    <mergeCell ref="E99:F99"/>
    <mergeCell ref="B101:F101"/>
    <mergeCell ref="B102:F102"/>
    <mergeCell ref="C76:C78"/>
    <mergeCell ref="C82:C83"/>
    <mergeCell ref="D82:D83"/>
    <mergeCell ref="E82:E83"/>
    <mergeCell ref="C87:C89"/>
    <mergeCell ref="E87:E89"/>
    <mergeCell ref="C92:C93"/>
    <mergeCell ref="E92:E96"/>
  </mergeCells>
  <hyperlinks>
    <hyperlink display="Lesson" location="C1Lesson" ref="C4"/>
    <hyperlink display="Examples" location="C1Examples" ref="C5"/>
    <hyperlink display="Example Playground" location="C1ExamplePlayground" ref="C6"/>
    <hyperlink display="Back to top ↑" location="C1LessonTitle" ref="E8"/>
    <hyperlink r:id="rId1" location="claude-functions" ref="B9"/>
    <hyperlink r:id="rId2" location="optional-function-parameters" ref="C14"/>
    <hyperlink display="Back to top ↑" location="C1LessonTitle" ref="E21"/>
    <hyperlink r:id="rId3" ref="B64"/>
    <hyperlink display="Chapter 1 Exercises: Basic Prompt Structure →" location="C1ExerciseTitle" ref="E68"/>
    <hyperlink display="Back to top ↑" location="C1LessonTitle" ref="E70"/>
    <hyperlink display="← Table of Contents" location="IntroTitle" ref="B99"/>
    <hyperlink display="Chapter 1 Exercises: Basic Prompt Structure →" location="C1ExerciseTitle" ref="E99"/>
    <hyperlink display="Back to top ↑" location="C1LessonTitle" ref="B101"/>
    <hyperlink display="Table of Contents" location="IntroTitle" ref="B102"/>
  </hyperlinks>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showGridLines="0" workbookViewId="0"/>
  </sheetViews>
  <sheetFormatPr customHeight="1" defaultColWidth="12.63" defaultRowHeight="15.75" outlineLevelRow="1"/>
  <cols>
    <col customWidth="1" min="1" max="1" width="5.5"/>
    <col customWidth="1" min="2" max="2" width="3.0"/>
    <col customWidth="1" min="3" max="3" width="42.38"/>
    <col customWidth="1" min="4" max="4" width="4.0"/>
    <col customWidth="1" min="5" max="5" width="48.5"/>
    <col customWidth="1" min="6" max="6" width="3.0"/>
    <col customWidth="1" min="7" max="7" width="5.5"/>
  </cols>
  <sheetData>
    <row r="1" ht="32.25" customHeight="1">
      <c r="A1" s="1"/>
      <c r="B1" s="2" t="s">
        <v>287</v>
      </c>
      <c r="F1" s="3"/>
      <c r="G1" s="3"/>
    </row>
    <row r="2" ht="21.75" customHeight="1"/>
    <row r="3" ht="21.75" customHeight="1">
      <c r="A3" s="23"/>
      <c r="B3" s="68" t="s">
        <v>249</v>
      </c>
    </row>
    <row r="4" ht="15.75" customHeight="1">
      <c r="A4" s="23"/>
      <c r="C4" s="69" t="s">
        <v>288</v>
      </c>
    </row>
    <row r="5" ht="15.75" customHeight="1">
      <c r="A5" s="23"/>
      <c r="C5" s="69" t="s">
        <v>289</v>
      </c>
    </row>
    <row r="6" ht="33.75" customHeight="1"/>
    <row r="7" ht="29.25" customHeight="1">
      <c r="A7" s="70"/>
      <c r="B7" s="71" t="s">
        <v>288</v>
      </c>
      <c r="C7" s="72"/>
      <c r="D7" s="72"/>
      <c r="E7" s="73" t="s">
        <v>253</v>
      </c>
      <c r="F7" s="74"/>
      <c r="G7" s="70"/>
    </row>
    <row r="8" ht="27.75" customHeight="1">
      <c r="B8" s="122" t="s">
        <v>290</v>
      </c>
      <c r="F8" s="12"/>
    </row>
    <row r="9" ht="11.25" customHeight="1">
      <c r="B9" s="123"/>
      <c r="C9" s="14"/>
      <c r="D9" s="14"/>
      <c r="E9" s="14"/>
      <c r="F9" s="17"/>
    </row>
    <row r="10">
      <c r="B10" s="88" t="s">
        <v>291</v>
      </c>
      <c r="F10" s="12"/>
    </row>
    <row r="11" ht="8.25" customHeight="1">
      <c r="B11" s="25"/>
      <c r="F11" s="24"/>
    </row>
    <row r="12" ht="15.75" customHeight="1">
      <c r="B12" s="25"/>
      <c r="C12" s="26" t="s">
        <v>263</v>
      </c>
      <c r="E12" s="26" t="s">
        <v>264</v>
      </c>
      <c r="F12" s="24"/>
    </row>
    <row r="13" ht="103.5" customHeight="1">
      <c r="B13" s="25"/>
      <c r="C13" s="124" t="s">
        <v>292</v>
      </c>
      <c r="D13" s="90" t="s">
        <v>266</v>
      </c>
      <c r="E13" s="104" t="str">
        <f>claudeMessages($C13,'Tutorial How-To'!$E$37,"temperature",0)</f>
        <v>1, 2, 3.</v>
      </c>
      <c r="F13" s="24"/>
    </row>
    <row r="14" ht="15.75" customHeight="1">
      <c r="B14" s="25"/>
      <c r="F14" s="24"/>
    </row>
    <row r="15">
      <c r="B15" s="125" t="s">
        <v>293</v>
      </c>
      <c r="C15" s="126" t="s">
        <v>294</v>
      </c>
      <c r="F15" s="12"/>
    </row>
    <row r="16" outlineLevel="1">
      <c r="B16" s="127" t="s">
        <v>295</v>
      </c>
      <c r="F16" s="12"/>
    </row>
    <row r="17" ht="33.75" customHeight="1">
      <c r="B17" s="9"/>
      <c r="C17" s="9"/>
      <c r="D17" s="9"/>
      <c r="E17" s="9"/>
      <c r="F17" s="9"/>
    </row>
    <row r="18" ht="29.25" customHeight="1">
      <c r="B18" s="71" t="s">
        <v>289</v>
      </c>
      <c r="C18" s="72"/>
      <c r="D18" s="72"/>
      <c r="E18" s="73" t="s">
        <v>253</v>
      </c>
      <c r="F18" s="74"/>
    </row>
    <row r="19">
      <c r="B19" s="88" t="s">
        <v>296</v>
      </c>
      <c r="F19" s="12"/>
    </row>
    <row r="20" ht="11.25" customHeight="1">
      <c r="B20" s="76"/>
      <c r="C20" s="77"/>
      <c r="D20" s="77"/>
      <c r="E20" s="77"/>
      <c r="F20" s="78"/>
    </row>
    <row r="21">
      <c r="B21" s="88" t="s">
        <v>297</v>
      </c>
      <c r="F21" s="12"/>
    </row>
    <row r="22" ht="8.25" customHeight="1">
      <c r="B22" s="22"/>
      <c r="F22" s="24"/>
    </row>
    <row r="23">
      <c r="B23" s="25"/>
      <c r="C23" s="26" t="s">
        <v>278</v>
      </c>
      <c r="E23" s="26" t="s">
        <v>264</v>
      </c>
      <c r="F23" s="24"/>
    </row>
    <row r="24" ht="104.25" customHeight="1">
      <c r="B24" s="25"/>
      <c r="C24" s="128" t="s">
        <v>298</v>
      </c>
      <c r="D24" s="90" t="s">
        <v>266</v>
      </c>
      <c r="E24" s="129" t="str">
        <f>claudeMessages($C27,'Tutorial How-To'!$E$37,"temperature",0, "system", C24)</f>
        <v>*giggles* The sky is SOOO big! It's bigger than anything! You can see it all around you, up and up and up! It's so big, it goes on forever and ever! I can't even see the end of it! *looks around in wonder* Wow, the sky is just so, so big! *smiles brightly*</v>
      </c>
      <c r="F24" s="24"/>
    </row>
    <row r="25" ht="8.25" customHeight="1">
      <c r="A25" s="105"/>
      <c r="B25" s="107"/>
      <c r="C25" s="114"/>
      <c r="E25" s="94"/>
      <c r="F25" s="105"/>
      <c r="G25" s="107"/>
    </row>
    <row r="26">
      <c r="B26" s="25"/>
      <c r="C26" s="26" t="s">
        <v>263</v>
      </c>
      <c r="E26" s="94"/>
      <c r="F26" s="24"/>
    </row>
    <row r="27" ht="82.5" customHeight="1">
      <c r="B27" s="25"/>
      <c r="C27" s="130" t="s">
        <v>299</v>
      </c>
      <c r="E27" s="94"/>
      <c r="F27" s="24"/>
    </row>
    <row r="28" ht="82.5" customHeight="1">
      <c r="B28" s="25"/>
      <c r="C28" s="95"/>
      <c r="E28" s="95"/>
      <c r="F28" s="24"/>
    </row>
    <row r="29" ht="15.75" customHeight="1">
      <c r="B29" s="25"/>
      <c r="F29" s="24"/>
    </row>
    <row r="30">
      <c r="B30" s="125" t="s">
        <v>293</v>
      </c>
      <c r="C30" s="126" t="s">
        <v>294</v>
      </c>
      <c r="F30" s="12"/>
    </row>
    <row r="31" outlineLevel="1">
      <c r="B31" s="131" t="s">
        <v>300</v>
      </c>
      <c r="C31" s="48"/>
      <c r="D31" s="48"/>
      <c r="E31" s="48"/>
      <c r="F31" s="49"/>
    </row>
    <row r="32">
      <c r="B32" s="9"/>
      <c r="C32" s="9"/>
      <c r="D32" s="9"/>
      <c r="E32" s="9"/>
      <c r="F32" s="9"/>
    </row>
    <row r="33">
      <c r="B33" s="119" t="s">
        <v>301</v>
      </c>
      <c r="D33" s="120"/>
      <c r="E33" s="42" t="s">
        <v>302</v>
      </c>
    </row>
    <row r="34" ht="15.75" customHeight="1"/>
    <row r="35">
      <c r="B35" s="121" t="s">
        <v>253</v>
      </c>
    </row>
    <row r="36">
      <c r="B36" s="121" t="s">
        <v>286</v>
      </c>
    </row>
  </sheetData>
  <mergeCells count="21">
    <mergeCell ref="B1:E1"/>
    <mergeCell ref="B3:C3"/>
    <mergeCell ref="B7:D7"/>
    <mergeCell ref="E7:F7"/>
    <mergeCell ref="B8:F8"/>
    <mergeCell ref="B10:F10"/>
    <mergeCell ref="C15:F15"/>
    <mergeCell ref="C27:C28"/>
    <mergeCell ref="C30:F30"/>
    <mergeCell ref="B31:F31"/>
    <mergeCell ref="B33:C33"/>
    <mergeCell ref="E33:F33"/>
    <mergeCell ref="B35:F35"/>
    <mergeCell ref="B36:F36"/>
    <mergeCell ref="B16:F16"/>
    <mergeCell ref="B18:D18"/>
    <mergeCell ref="E18:F18"/>
    <mergeCell ref="B19:F19"/>
    <mergeCell ref="B21:F21"/>
    <mergeCell ref="D24:D28"/>
    <mergeCell ref="E24:E28"/>
  </mergeCells>
  <conditionalFormatting sqref="E13">
    <cfRule type="expression" dxfId="0" priority="1">
      <formula>AND(REGEXMATCH(E13,"1"), REGEXMATCH(E13,"2"), REGEXMATCH(E13,"3"))</formula>
    </cfRule>
  </conditionalFormatting>
  <conditionalFormatting sqref="E24:E25">
    <cfRule type="expression" dxfId="0" priority="2">
      <formula>OR(ISNUMBER(SEARCH("*giggles*",E24)),ISNUMBER(SEARCH("soo",E24)))</formula>
    </cfRule>
  </conditionalFormatting>
  <conditionalFormatting sqref="E22:E23">
    <cfRule type="containsText" dxfId="0" priority="3" operator="containsText" text="blue">
      <formula>NOT(ISERROR(SEARCH(("blue"),(E22))))</formula>
    </cfRule>
  </conditionalFormatting>
  <hyperlinks>
    <hyperlink display="Exercise 1.1 - Counting to Three" location="C1Exercise1" ref="C4"/>
    <hyperlink display="Exercise 1.2 - System Prompt" location="C1Exercise2" ref="C5"/>
    <hyperlink display="Back to top ↑" location="C1ExerciseTitle" ref="E7"/>
    <hyperlink display="Back to top ↑" location="C1ExerciseTitle" ref="E18"/>
    <hyperlink display="← Chapter 1: Basic Prompt Structure" location="C1LessonTitle" ref="B33"/>
    <hyperlink display="Chapter 2: Being Clear and Direct →" location="C2LessonTitle" ref="E33"/>
    <hyperlink display="Back to top ↑" location="C1ExerciseTitle" ref="B35"/>
    <hyperlink display="Table of Contents" location="IntroTitle" ref="B36"/>
  </hyperlin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showGridLines="0" workbookViewId="0"/>
  </sheetViews>
  <sheetFormatPr customHeight="1" defaultColWidth="12.63" defaultRowHeight="15.75"/>
  <cols>
    <col customWidth="1" min="1" max="1" width="5.5"/>
    <col customWidth="1" min="2" max="2" width="3.0"/>
    <col customWidth="1" min="3" max="3" width="50.5"/>
    <col customWidth="1" min="4" max="4" width="4.0"/>
    <col customWidth="1" min="5" max="5" width="55.75"/>
    <col customWidth="1" min="6" max="6" width="3.0"/>
    <col customWidth="1" min="7" max="7" width="5.5"/>
  </cols>
  <sheetData>
    <row r="1" ht="32.25" customHeight="1">
      <c r="A1" s="132"/>
      <c r="B1" s="133" t="s">
        <v>228</v>
      </c>
      <c r="F1" s="134"/>
      <c r="G1" s="134"/>
    </row>
    <row r="2" ht="21.75" customHeight="1">
      <c r="A2" s="107"/>
      <c r="B2" s="107"/>
      <c r="C2" s="107"/>
      <c r="D2" s="107"/>
      <c r="E2" s="107"/>
      <c r="F2" s="107"/>
      <c r="G2" s="107"/>
    </row>
    <row r="3" ht="21.75" customHeight="1">
      <c r="A3" s="135"/>
      <c r="B3" s="136" t="s">
        <v>249</v>
      </c>
      <c r="D3" s="107"/>
      <c r="E3" s="107"/>
      <c r="F3" s="107"/>
      <c r="G3" s="107"/>
    </row>
    <row r="4" ht="15.75" customHeight="1">
      <c r="A4" s="135"/>
      <c r="B4" s="107"/>
      <c r="C4" s="137" t="s">
        <v>226</v>
      </c>
      <c r="D4" s="107"/>
      <c r="E4" s="107"/>
      <c r="F4" s="107"/>
      <c r="G4" s="107"/>
    </row>
    <row r="5" ht="15.75" customHeight="1">
      <c r="A5" s="135"/>
      <c r="B5" s="107"/>
      <c r="C5" s="137" t="s">
        <v>250</v>
      </c>
      <c r="D5" s="107"/>
      <c r="E5" s="107"/>
      <c r="F5" s="107"/>
      <c r="G5" s="107"/>
    </row>
    <row r="6" ht="15.75" customHeight="1">
      <c r="A6" s="135" t="s">
        <v>251</v>
      </c>
      <c r="B6" s="107"/>
      <c r="C6" s="137" t="s">
        <v>252</v>
      </c>
      <c r="D6" s="107"/>
      <c r="E6" s="107"/>
      <c r="F6" s="107"/>
      <c r="G6" s="107"/>
    </row>
    <row r="7" ht="33.75" customHeight="1">
      <c r="A7" s="107"/>
      <c r="B7" s="138"/>
      <c r="C7" s="138"/>
      <c r="D7" s="138"/>
      <c r="E7" s="138"/>
      <c r="F7" s="138"/>
      <c r="G7" s="107"/>
    </row>
    <row r="8" ht="29.25" customHeight="1">
      <c r="A8" s="139"/>
      <c r="B8" s="140" t="s">
        <v>226</v>
      </c>
      <c r="E8" s="141" t="s">
        <v>253</v>
      </c>
      <c r="F8" s="12"/>
      <c r="G8" s="142"/>
    </row>
    <row r="9">
      <c r="A9" s="105"/>
      <c r="B9" s="143" t="s">
        <v>303</v>
      </c>
      <c r="F9" s="12"/>
      <c r="G9" s="107"/>
    </row>
    <row r="10" ht="11.25" customHeight="1">
      <c r="A10" s="105"/>
      <c r="B10" s="135"/>
      <c r="C10" s="135"/>
      <c r="D10" s="135"/>
      <c r="E10" s="135"/>
      <c r="F10" s="144"/>
      <c r="G10" s="107"/>
    </row>
    <row r="11">
      <c r="A11" s="105"/>
      <c r="B11" s="145" t="s">
        <v>304</v>
      </c>
      <c r="C11" s="48"/>
      <c r="D11" s="48"/>
      <c r="E11" s="48"/>
      <c r="F11" s="49"/>
      <c r="G11" s="107"/>
    </row>
    <row r="12" ht="33.75" customHeight="1">
      <c r="A12" s="107"/>
      <c r="B12" s="138"/>
      <c r="C12" s="138"/>
      <c r="D12" s="138"/>
      <c r="E12" s="138"/>
      <c r="F12" s="138"/>
      <c r="G12" s="107"/>
    </row>
    <row r="13" ht="29.25" customHeight="1">
      <c r="A13" s="105"/>
      <c r="B13" s="140" t="s">
        <v>250</v>
      </c>
      <c r="E13" s="141" t="s">
        <v>253</v>
      </c>
      <c r="F13" s="12"/>
      <c r="G13" s="107"/>
    </row>
    <row r="14">
      <c r="A14" s="105"/>
      <c r="B14" s="146" t="s">
        <v>305</v>
      </c>
      <c r="F14" s="12"/>
      <c r="G14" s="107"/>
    </row>
    <row r="15" ht="8.25" customHeight="1">
      <c r="A15" s="105"/>
      <c r="B15" s="135"/>
      <c r="C15" s="107"/>
      <c r="D15" s="107"/>
      <c r="E15" s="107"/>
      <c r="F15" s="105"/>
      <c r="G15" s="107"/>
    </row>
    <row r="16">
      <c r="A16" s="105"/>
      <c r="B16" s="107"/>
      <c r="C16" s="147" t="s">
        <v>263</v>
      </c>
      <c r="D16" s="107"/>
      <c r="E16" s="147" t="s">
        <v>264</v>
      </c>
      <c r="F16" s="105"/>
      <c r="G16" s="107"/>
    </row>
    <row r="17" ht="65.25" customHeight="1">
      <c r="A17" s="105"/>
      <c r="B17" s="110"/>
      <c r="C17" s="148" t="s">
        <v>306</v>
      </c>
      <c r="D17" s="149" t="s">
        <v>266</v>
      </c>
      <c r="E17" s="91" t="str">
        <f>claudeMessages($C17,'Tutorial How-To'!$E$37,"temperature",0)</f>
        <v>Here is a haiku about robots:
Metallic beings
Programmed to serve and obey
Artificial life</v>
      </c>
      <c r="F17" s="105"/>
      <c r="G17" s="107"/>
    </row>
    <row r="18" ht="22.5" customHeight="1">
      <c r="A18" s="105"/>
      <c r="B18" s="107"/>
      <c r="C18" s="107"/>
      <c r="D18" s="107"/>
      <c r="E18" s="107"/>
      <c r="F18" s="105"/>
      <c r="G18" s="107"/>
    </row>
    <row r="19">
      <c r="A19" s="105"/>
      <c r="B19" s="150" t="s">
        <v>307</v>
      </c>
      <c r="F19" s="12"/>
      <c r="G19" s="107"/>
    </row>
    <row r="20" ht="8.25" customHeight="1">
      <c r="A20" s="105"/>
      <c r="B20" s="107"/>
      <c r="C20" s="107"/>
      <c r="D20" s="107"/>
      <c r="E20" s="107"/>
      <c r="F20" s="105"/>
      <c r="G20" s="107"/>
    </row>
    <row r="21">
      <c r="A21" s="105"/>
      <c r="B21" s="107"/>
      <c r="C21" s="147" t="s">
        <v>263</v>
      </c>
      <c r="D21" s="107"/>
      <c r="E21" s="147" t="s">
        <v>264</v>
      </c>
      <c r="F21" s="105"/>
      <c r="G21" s="107"/>
    </row>
    <row r="22" ht="77.25" customHeight="1">
      <c r="A22" s="105"/>
      <c r="B22" s="110"/>
      <c r="C22" s="148" t="s">
        <v>308</v>
      </c>
      <c r="D22" s="151" t="s">
        <v>266</v>
      </c>
      <c r="E22" s="91" t="str">
        <f>claudeMessages($C22,'Tutorial How-To'!$E$37,"temperature",0)</f>
        <v>Metallic beings,
Programmed to serve and obey,
Robots, our creations.</v>
      </c>
      <c r="F22" s="105"/>
      <c r="G22" s="107"/>
    </row>
    <row r="23" ht="22.5" customHeight="1">
      <c r="A23" s="105"/>
      <c r="B23" s="107"/>
      <c r="C23" s="107"/>
      <c r="D23" s="107"/>
      <c r="E23" s="107"/>
      <c r="F23" s="105"/>
      <c r="G23" s="107"/>
    </row>
    <row r="24">
      <c r="A24" s="105"/>
      <c r="B24" s="146" t="s">
        <v>309</v>
      </c>
      <c r="F24" s="12"/>
      <c r="G24" s="107"/>
    </row>
    <row r="25" ht="8.25" customHeight="1">
      <c r="A25" s="105"/>
      <c r="B25" s="107"/>
      <c r="C25" s="107"/>
      <c r="D25" s="107"/>
      <c r="E25" s="107"/>
      <c r="F25" s="105"/>
      <c r="G25" s="107"/>
    </row>
    <row r="26">
      <c r="A26" s="105"/>
      <c r="B26" s="107"/>
      <c r="C26" s="147" t="s">
        <v>263</v>
      </c>
      <c r="D26" s="107"/>
      <c r="E26" s="147" t="s">
        <v>264</v>
      </c>
      <c r="F26" s="105"/>
      <c r="G26" s="107"/>
    </row>
    <row r="27" ht="153.75" customHeight="1">
      <c r="A27" s="105"/>
      <c r="B27" s="110"/>
      <c r="C27" s="152" t="s">
        <v>310</v>
      </c>
      <c r="D27" s="151" t="s">
        <v>266</v>
      </c>
      <c r="E27" s="153" t="str">
        <f>claudeMessages($C27,'Tutorial How-To'!$E$37,"temperature",0)</f>
        <v>There is no universally agreed upon "best basketball player of all time." It's a highly debated topic, as there have been many all-time great players throughout the history of the sport. Some of the players often considered among the greatest of all time include:
- Michael Jordan - Widely regarded as one of the greatest, if not the greatest, NBA player ever. He won 6 NBA championships with the Chicago Bulls.
- LeBron James - One of the most dominant and well-rounded players of the modern era. He has won 4 NBA titles with 3 different teams.
- Kareem Abdul-Jabbar - Legendary center who won 6 NBA championships and holds the record for most career points scored in the NBA.
- Wilt Chamberlain - Dominant big man who holds numerous NBA records including most points in a game (100). He won 2 NBA titles.
- Magic Johnson - Pioneering point guard who led the "Showtime" Lakers to 5 NBA championships in the 1980s.
- Bill Russell - Defensive anchor and 11-time NBA champion with the Boston Celtics in the 1950s and 60s.
There is no definitive consensus, as different fans and experts will have their own criteria for determining the "best" player. It's a highly subjective debate with many worthy candidates.</v>
      </c>
      <c r="F27" s="105"/>
      <c r="G27" s="107"/>
    </row>
    <row r="28" ht="153.75" customHeight="1">
      <c r="A28" s="105"/>
      <c r="B28" s="110"/>
      <c r="C28" s="154"/>
      <c r="D28" s="155"/>
      <c r="E28" s="95"/>
      <c r="F28" s="105"/>
      <c r="G28" s="107"/>
    </row>
    <row r="29">
      <c r="A29" s="105"/>
      <c r="B29" s="135"/>
      <c r="C29" s="135"/>
      <c r="D29" s="135"/>
      <c r="E29" s="135"/>
      <c r="F29" s="144"/>
      <c r="G29" s="107"/>
    </row>
    <row r="30">
      <c r="A30" s="105"/>
      <c r="B30" s="156" t="s">
        <v>311</v>
      </c>
      <c r="F30" s="12"/>
      <c r="G30" s="107"/>
    </row>
    <row r="31" ht="8.25" customHeight="1">
      <c r="A31" s="105"/>
      <c r="B31" s="107"/>
      <c r="C31" s="107"/>
      <c r="D31" s="107"/>
      <c r="E31" s="107"/>
      <c r="F31" s="105"/>
      <c r="G31" s="107"/>
    </row>
    <row r="32">
      <c r="A32" s="105"/>
      <c r="B32" s="107"/>
      <c r="C32" s="147" t="s">
        <v>263</v>
      </c>
      <c r="D32" s="135"/>
      <c r="E32" s="109" t="s">
        <v>264</v>
      </c>
      <c r="F32" s="105"/>
      <c r="G32" s="107"/>
    </row>
    <row r="33" ht="123.0" customHeight="1">
      <c r="A33" s="105"/>
      <c r="B33" s="110"/>
      <c r="C33" s="157" t="s">
        <v>312</v>
      </c>
      <c r="D33" s="158" t="s">
        <v>266</v>
      </c>
      <c r="E33" s="159" t="str">
        <f>claudeMessages($C33,'Tutorial How-To'!$E$37,"temperature",0)</f>
        <v>There is no definitive consensus on who the single "best" basketball player of all time is, as it is a highly subjective and debatable topic. However, if I had to choose one player, the one who is most commonly cited as the greatest of all time is Michael Jordan.
Some key reasons why Michael Jordan is often considered the GOAT (Greatest of All Time) in basketball:
- Dominant statistical career - Jordan is one of the most prolific scorers in NBA history, averaging over 30 points per game for his career. He also excelled in other statistical categories.
- Unparalleled individual accolades - Jordan won 5 MVP awards, 6 NBA championships, 6 NBA Finals MVPs, and 10 scoring titles among many other honors.
- Transformative impact on the game - Jordan's style of play, competitiveness, and global popularity helped take the NBA to new heights in popularity and influence.
- Sustained excellence over his prime years - Jordan was at the peak of his powers for over a decade, dominating the league during his time.
However, there are also strong cases that could be made for other all-time greats like LeBron James, Kareem Abdul-Jabbar, Wilt Chamberlain, or others. But based on the overall consensus, Michael Jordan is the player most commonly cited as the best basketball player of all time.</v>
      </c>
      <c r="F33" s="105"/>
      <c r="G33" s="107"/>
    </row>
    <row r="34" ht="123.0" customHeight="1">
      <c r="A34" s="105"/>
      <c r="B34" s="160"/>
      <c r="C34" s="113"/>
      <c r="D34" s="161"/>
      <c r="E34" s="94"/>
      <c r="F34" s="144"/>
      <c r="G34" s="107"/>
    </row>
    <row r="35" ht="123.0" customHeight="1">
      <c r="A35" s="105"/>
      <c r="B35" s="110"/>
      <c r="C35" s="154"/>
      <c r="D35" s="155"/>
      <c r="E35" s="95"/>
      <c r="F35" s="105"/>
      <c r="G35" s="107"/>
    </row>
    <row r="36" ht="15.75" customHeight="1">
      <c r="A36" s="105"/>
      <c r="B36" s="107"/>
      <c r="C36" s="107"/>
      <c r="D36" s="107"/>
      <c r="E36" s="135"/>
      <c r="F36" s="144"/>
      <c r="G36" s="107"/>
    </row>
    <row r="37" ht="33.75" customHeight="1">
      <c r="A37" s="105"/>
      <c r="B37" s="162" t="s">
        <v>313</v>
      </c>
      <c r="C37" s="48"/>
      <c r="D37" s="48"/>
      <c r="E37" s="48"/>
      <c r="F37" s="49"/>
      <c r="G37" s="107"/>
    </row>
    <row r="38" ht="15.75" customHeight="1">
      <c r="A38" s="107"/>
      <c r="B38" s="135"/>
      <c r="C38" s="135"/>
      <c r="D38" s="135"/>
      <c r="E38" s="135"/>
      <c r="F38" s="135"/>
      <c r="G38" s="107"/>
    </row>
    <row r="39">
      <c r="A39" s="107"/>
      <c r="B39" s="135"/>
      <c r="C39" s="135"/>
      <c r="D39" s="135"/>
      <c r="E39" s="163" t="s">
        <v>314</v>
      </c>
      <c r="G39" s="107"/>
    </row>
    <row r="40" ht="29.25" customHeight="1">
      <c r="A40" s="107"/>
      <c r="B40" s="135"/>
      <c r="C40" s="135"/>
      <c r="D40" s="135"/>
      <c r="E40" s="135"/>
      <c r="F40" s="135"/>
      <c r="G40" s="107"/>
    </row>
    <row r="41">
      <c r="A41" s="105"/>
      <c r="B41" s="164" t="s">
        <v>252</v>
      </c>
      <c r="C41" s="165"/>
      <c r="D41" s="165"/>
      <c r="E41" s="166" t="s">
        <v>253</v>
      </c>
      <c r="F41" s="167"/>
      <c r="G41" s="107"/>
    </row>
    <row r="42" ht="71.25" customHeight="1">
      <c r="A42" s="105"/>
      <c r="B42" s="168" t="s">
        <v>315</v>
      </c>
      <c r="F42" s="12"/>
      <c r="G42" s="107"/>
    </row>
    <row r="43" ht="8.25" customHeight="1">
      <c r="A43" s="105"/>
      <c r="B43" s="107"/>
      <c r="C43" s="107"/>
      <c r="D43" s="107"/>
      <c r="E43" s="107"/>
      <c r="F43" s="105"/>
      <c r="G43" s="107"/>
    </row>
    <row r="44">
      <c r="A44" s="105"/>
      <c r="B44" s="107"/>
      <c r="C44" s="147" t="s">
        <v>263</v>
      </c>
      <c r="D44" s="135"/>
      <c r="E44" s="109" t="s">
        <v>264</v>
      </c>
      <c r="F44" s="105"/>
      <c r="G44" s="107"/>
    </row>
    <row r="45" ht="65.25" customHeight="1">
      <c r="A45" s="105"/>
      <c r="B45" s="110"/>
      <c r="C45" s="148" t="s">
        <v>306</v>
      </c>
      <c r="D45" s="149" t="s">
        <v>266</v>
      </c>
      <c r="E45" s="91" t="str">
        <f>claudeMessages($C45,'Tutorial How-To'!$E$37,"temperature",0)</f>
        <v>Here is a haiku about robots:
Metallic beings
Programmed to serve and obey
Artificial life</v>
      </c>
      <c r="F45" s="105"/>
      <c r="G45" s="107"/>
    </row>
    <row r="46" ht="8.25" customHeight="1">
      <c r="A46" s="105"/>
      <c r="B46" s="107"/>
      <c r="C46" s="107"/>
      <c r="D46" s="107"/>
      <c r="E46" s="107"/>
      <c r="F46" s="105"/>
      <c r="G46" s="107"/>
    </row>
    <row r="47" ht="77.25" customHeight="1">
      <c r="A47" s="105"/>
      <c r="B47" s="110"/>
      <c r="C47" s="148" t="s">
        <v>308</v>
      </c>
      <c r="D47" s="151" t="s">
        <v>266</v>
      </c>
      <c r="E47" s="91" t="str">
        <f>claudeMessages($C47,'Tutorial How-To'!$E$37,"temperature",0)</f>
        <v>Metallic beings,
Programmed to serve and obey,
Robots, our creations.</v>
      </c>
      <c r="F47" s="105"/>
      <c r="G47" s="107"/>
    </row>
    <row r="48" ht="8.25" customHeight="1">
      <c r="A48" s="105"/>
      <c r="B48" s="107"/>
      <c r="C48" s="107"/>
      <c r="D48" s="107"/>
      <c r="E48" s="107"/>
      <c r="F48" s="105"/>
      <c r="G48" s="107"/>
    </row>
    <row r="49" ht="153.75" customHeight="1">
      <c r="A49" s="105"/>
      <c r="B49" s="110"/>
      <c r="C49" s="152" t="s">
        <v>310</v>
      </c>
      <c r="D49" s="151" t="s">
        <v>266</v>
      </c>
      <c r="E49" s="169" t="str">
        <f>claudeMessages($C49,'Tutorial How-To'!$E$37,"temperature",0)</f>
        <v>There is no universally agreed upon "best basketball player of all time." It's a highly debated topic, as there have been many all-time great players throughout the history of the sport. Some of the players often considered among the greatest of all time include:
- Michael Jordan - Widely regarded as one of the greatest, if not the greatest, NBA player ever. He won 6 NBA championships with the Chicago Bulls.
- LeBron James - One of the most dominant and well-rounded players of the modern era. He has won 4 NBA titles with 3 different teams.
- Kareem Abdul-Jabbar - Legendary center who won 6 NBA championships and holds the record for most career points scored in the NBA.
- Wilt Chamberlain - Dominant big man who holds numerous NBA records including most points in a game (100). He won 2 NBA titles.
- Magic Johnson - Pioneering point guard who led the "Showtime" Lakers to 5 NBA championships in the 1980s.
- Bill Russell - Defensive anchor and 11-time NBA champion with the Boston Celtics in the 1950s and 60s.
There is no definitive consensus, as different fans and experts will have their own criteria for determining the "best" player. It's a highly subjective debate with many worthy candidates.</v>
      </c>
      <c r="F49" s="105"/>
      <c r="G49" s="107"/>
    </row>
    <row r="50" ht="153.75" customHeight="1">
      <c r="A50" s="105"/>
      <c r="B50" s="110"/>
      <c r="C50" s="154"/>
      <c r="D50" s="155"/>
      <c r="E50" s="154"/>
      <c r="F50" s="105"/>
      <c r="G50" s="107"/>
    </row>
    <row r="51">
      <c r="A51" s="105"/>
      <c r="B51" s="135"/>
      <c r="C51" s="170"/>
      <c r="D51" s="135"/>
      <c r="E51" s="170"/>
      <c r="F51" s="144"/>
      <c r="G51" s="107"/>
    </row>
    <row r="52" ht="123.0" customHeight="1">
      <c r="A52" s="105"/>
      <c r="B52" s="110"/>
      <c r="C52" s="157" t="s">
        <v>312</v>
      </c>
      <c r="D52" s="158" t="s">
        <v>266</v>
      </c>
      <c r="E52" s="171" t="str">
        <f>claudeMessages($C52,'Tutorial How-To'!$E$37,"temperature",0)</f>
        <v>There is no definitive consensus on who the single "best" basketball player of all time is, as it is a highly subjective and debatable topic. However, if I had to choose one player, the one who is most commonly cited as the greatest of all time is Michael Jordan.
Some key reasons why Michael Jordan is often considered the GOAT (Greatest of All Time) in basketball:
- Dominant statistical career - Jordan is one of the most prolific scorers in NBA history, averaging over 30 points per game for his career. He also excelled in other statistical categories.
- Unparalleled individual accolades - Jordan won 5 MVP awards, 6 NBA championships, 6 NBA Finals MVPs, and 10 scoring titles among many other honors.
- Transformative impact on the game - Jordan's style of play, competitiveness, and global popularity helped take the NBA to new heights in popularity and influence.
- Sustained excellence over his prime years - Jordan was at the peak of his powers for over a decade, dominating the league during his time.
However, there are also strong cases that could be made for other all-time greats like LeBron James, Kareem Abdul-Jabbar, Wilt Chamberlain, or others. But based on the overall consensus, Michael Jordan is the player most commonly cited as the best basketball player of all time.</v>
      </c>
      <c r="F52" s="105"/>
      <c r="G52" s="107"/>
    </row>
    <row r="53" ht="123.0" customHeight="1">
      <c r="A53" s="105"/>
      <c r="B53" s="160"/>
      <c r="C53" s="113"/>
      <c r="D53" s="161"/>
      <c r="E53" s="113"/>
      <c r="F53" s="144"/>
      <c r="G53" s="107"/>
    </row>
    <row r="54" ht="123.0" customHeight="1">
      <c r="A54" s="105"/>
      <c r="B54" s="110"/>
      <c r="C54" s="154"/>
      <c r="D54" s="155"/>
      <c r="E54" s="154"/>
      <c r="F54" s="105"/>
      <c r="G54" s="107"/>
    </row>
    <row r="55">
      <c r="A55" s="105"/>
      <c r="B55" s="138"/>
      <c r="C55" s="138"/>
      <c r="D55" s="138"/>
      <c r="E55" s="138"/>
      <c r="F55" s="172"/>
      <c r="G55" s="107"/>
    </row>
    <row r="56">
      <c r="A56" s="107"/>
      <c r="B56" s="107"/>
      <c r="C56" s="107"/>
      <c r="D56" s="107"/>
      <c r="E56" s="107"/>
      <c r="F56" s="107"/>
      <c r="G56" s="107"/>
    </row>
    <row r="57">
      <c r="A57" s="107"/>
      <c r="B57" s="173" t="s">
        <v>316</v>
      </c>
      <c r="E57" s="174" t="s">
        <v>314</v>
      </c>
      <c r="G57" s="107"/>
    </row>
    <row r="58">
      <c r="A58" s="107"/>
      <c r="B58" s="107"/>
      <c r="C58" s="107"/>
      <c r="D58" s="107"/>
      <c r="E58" s="107"/>
      <c r="F58" s="107"/>
      <c r="G58" s="107"/>
    </row>
    <row r="59">
      <c r="A59" s="107"/>
      <c r="B59" s="175" t="s">
        <v>253</v>
      </c>
      <c r="G59" s="107"/>
    </row>
    <row r="60">
      <c r="A60" s="107"/>
      <c r="B60" s="175" t="s">
        <v>286</v>
      </c>
      <c r="G60" s="107"/>
    </row>
    <row r="61">
      <c r="A61" s="107"/>
      <c r="B61" s="107"/>
      <c r="C61" s="107"/>
      <c r="D61" s="107"/>
      <c r="E61" s="107"/>
      <c r="F61" s="107"/>
      <c r="G61" s="107"/>
    </row>
    <row r="62">
      <c r="A62" s="107"/>
      <c r="B62" s="107"/>
      <c r="C62" s="107"/>
      <c r="D62" s="107"/>
      <c r="E62" s="107"/>
      <c r="F62" s="107"/>
      <c r="G62" s="107"/>
    </row>
    <row r="63">
      <c r="A63" s="107"/>
      <c r="B63" s="107"/>
      <c r="C63" s="107"/>
      <c r="D63" s="107"/>
      <c r="E63" s="107"/>
      <c r="F63" s="107"/>
      <c r="G63" s="107"/>
    </row>
    <row r="64">
      <c r="A64" s="107"/>
      <c r="B64" s="107"/>
      <c r="C64" s="107"/>
      <c r="D64" s="107"/>
      <c r="E64" s="107"/>
      <c r="F64" s="107"/>
      <c r="G64" s="107"/>
    </row>
  </sheetData>
  <mergeCells count="29">
    <mergeCell ref="B1:E1"/>
    <mergeCell ref="B3:C3"/>
    <mergeCell ref="B8:D8"/>
    <mergeCell ref="E8:F8"/>
    <mergeCell ref="B9:F9"/>
    <mergeCell ref="B11:F11"/>
    <mergeCell ref="E13:F13"/>
    <mergeCell ref="B13:D13"/>
    <mergeCell ref="B14:F14"/>
    <mergeCell ref="B19:F19"/>
    <mergeCell ref="B24:F24"/>
    <mergeCell ref="C27:C28"/>
    <mergeCell ref="E27:E28"/>
    <mergeCell ref="B30:F30"/>
    <mergeCell ref="C49:C50"/>
    <mergeCell ref="E49:E50"/>
    <mergeCell ref="C52:C54"/>
    <mergeCell ref="E52:E54"/>
    <mergeCell ref="B57:D57"/>
    <mergeCell ref="E57:F57"/>
    <mergeCell ref="B59:F59"/>
    <mergeCell ref="B60:F60"/>
    <mergeCell ref="C33:C35"/>
    <mergeCell ref="E33:E35"/>
    <mergeCell ref="B37:F37"/>
    <mergeCell ref="E39:F39"/>
    <mergeCell ref="B41:D41"/>
    <mergeCell ref="E41:F41"/>
    <mergeCell ref="B42:F42"/>
  </mergeCells>
  <hyperlinks>
    <hyperlink display="Lesson" location="C2Lesson" ref="C4"/>
    <hyperlink display="Examples" location="C2Examples" ref="C5"/>
    <hyperlink display="Example Playground" location="C2ExamplePlayground" ref="C6"/>
    <hyperlink display="Back to top ↑" location="C2LessonTitle" ref="E8"/>
    <hyperlink display="Back to top ↑" location="C2LessonTitle" ref="E13"/>
    <hyperlink display="Chapter 2 Exercises: Being Clear and Direct →" location="C2ExerciseTitle" ref="E39"/>
    <hyperlink display="Back to top ↑" location="C2LessonTitle" ref="E41"/>
    <hyperlink display="← Chapter 1 Exercises: Basic Prompt Structure" location="C1ExerciseTitle" ref="B57"/>
    <hyperlink display="Chapter 2 Exercises: Being Clear and Direct →" location="C2ExerciseTitle" ref="E57"/>
    <hyperlink display="Back to top ↑" location="C2LessonTitle" ref="B59"/>
    <hyperlink display="Table of Contents" location="IntroTitle" ref="B60"/>
  </hyperlink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showGridLines="0" workbookViewId="0"/>
  </sheetViews>
  <sheetFormatPr customHeight="1" defaultColWidth="12.63" defaultRowHeight="15.75" outlineLevelRow="1"/>
  <cols>
    <col customWidth="1" min="1" max="1" width="5.5"/>
    <col customWidth="1" min="2" max="2" width="3.0"/>
    <col customWidth="1" min="3" max="3" width="50.5"/>
    <col customWidth="1" min="4" max="4" width="4.0"/>
    <col customWidth="1" min="5" max="5" width="55.75"/>
    <col customWidth="1" min="6" max="6" width="3.0"/>
    <col customWidth="1" min="7" max="7" width="5.5"/>
  </cols>
  <sheetData>
    <row r="1" ht="32.25" customHeight="1">
      <c r="A1" s="1"/>
      <c r="B1" s="2" t="s">
        <v>317</v>
      </c>
      <c r="F1" s="3"/>
      <c r="G1" s="3"/>
    </row>
    <row r="2" ht="21.75" customHeight="1"/>
    <row r="3" ht="21.75" customHeight="1">
      <c r="A3" s="23"/>
      <c r="B3" s="68" t="s">
        <v>249</v>
      </c>
    </row>
    <row r="4" ht="15.75" customHeight="1">
      <c r="A4" s="23"/>
      <c r="C4" s="69" t="s">
        <v>318</v>
      </c>
    </row>
    <row r="5" ht="15.75" customHeight="1">
      <c r="A5" s="23"/>
      <c r="C5" s="69" t="s">
        <v>319</v>
      </c>
    </row>
    <row r="6" ht="15.75" customHeight="1">
      <c r="A6" s="23" t="s">
        <v>251</v>
      </c>
      <c r="C6" s="69" t="s">
        <v>320</v>
      </c>
    </row>
    <row r="7" ht="33.75" customHeight="1"/>
    <row r="8" ht="29.25" customHeight="1">
      <c r="A8" s="70"/>
      <c r="B8" s="71" t="s">
        <v>318</v>
      </c>
      <c r="C8" s="72"/>
      <c r="D8" s="72"/>
      <c r="E8" s="73" t="s">
        <v>253</v>
      </c>
      <c r="F8" s="74"/>
      <c r="G8" s="70"/>
    </row>
    <row r="9">
      <c r="B9" s="79" t="s">
        <v>321</v>
      </c>
      <c r="F9" s="12"/>
    </row>
    <row r="10" ht="8.25" customHeight="1">
      <c r="B10" s="25"/>
      <c r="F10" s="24"/>
    </row>
    <row r="11" ht="15.75" customHeight="1">
      <c r="B11" s="25"/>
      <c r="C11" s="26" t="s">
        <v>278</v>
      </c>
      <c r="E11" s="26" t="s">
        <v>264</v>
      </c>
      <c r="F11" s="24"/>
    </row>
    <row r="12" ht="75.75" customHeight="1">
      <c r="B12" s="25"/>
      <c r="C12" s="128" t="s">
        <v>322</v>
      </c>
      <c r="D12" s="90" t="s">
        <v>266</v>
      </c>
      <c r="E12" s="98" t="str">
        <f>claudeMessages($C15,'Tutorial How-To'!$E$37,"temperature",0,"system",$C12)</f>
        <v>¡Hola! Estoy bien, gracias por preguntar. ¿Cómo estás tú?</v>
      </c>
      <c r="F12" s="24"/>
    </row>
    <row r="13" ht="8.25" customHeight="1">
      <c r="B13" s="25"/>
      <c r="E13" s="94"/>
      <c r="F13" s="24"/>
    </row>
    <row r="14" ht="15.75" customHeight="1">
      <c r="B14" s="25"/>
      <c r="C14" s="26" t="s">
        <v>263</v>
      </c>
      <c r="E14" s="94"/>
      <c r="F14" s="24"/>
    </row>
    <row r="15" ht="75.75" customHeight="1">
      <c r="B15" s="25"/>
      <c r="C15" s="89" t="s">
        <v>323</v>
      </c>
      <c r="E15" s="95"/>
      <c r="F15" s="24"/>
    </row>
    <row r="16" ht="15.75" customHeight="1">
      <c r="B16" s="25"/>
      <c r="F16" s="24"/>
    </row>
    <row r="17">
      <c r="B17" s="125" t="s">
        <v>293</v>
      </c>
      <c r="C17" s="126" t="s">
        <v>294</v>
      </c>
      <c r="F17" s="12"/>
    </row>
    <row r="18" outlineLevel="1">
      <c r="B18" s="127" t="s">
        <v>324</v>
      </c>
      <c r="F18" s="12"/>
    </row>
    <row r="19" ht="33.75" customHeight="1">
      <c r="B19" s="9"/>
      <c r="C19" s="9"/>
      <c r="D19" s="9"/>
      <c r="E19" s="9"/>
      <c r="F19" s="9"/>
    </row>
    <row r="20" ht="29.25" customHeight="1">
      <c r="A20" s="70"/>
      <c r="B20" s="71" t="s">
        <v>319</v>
      </c>
      <c r="C20" s="72"/>
      <c r="D20" s="72"/>
      <c r="E20" s="73" t="s">
        <v>253</v>
      </c>
      <c r="F20" s="74"/>
      <c r="G20" s="70"/>
    </row>
    <row r="21">
      <c r="B21" s="79" t="s">
        <v>325</v>
      </c>
      <c r="F21" s="12"/>
    </row>
    <row r="22" ht="8.25" customHeight="1">
      <c r="B22" s="25"/>
      <c r="F22" s="24"/>
    </row>
    <row r="23" ht="15.75" customHeight="1">
      <c r="B23" s="25"/>
      <c r="C23" s="26" t="s">
        <v>263</v>
      </c>
      <c r="E23" s="26" t="s">
        <v>264</v>
      </c>
      <c r="F23" s="24"/>
    </row>
    <row r="24" ht="86.25" customHeight="1">
      <c r="B24" s="25"/>
      <c r="C24" s="176" t="s">
        <v>326</v>
      </c>
      <c r="D24" s="90" t="s">
        <v>266</v>
      </c>
      <c r="E24" s="98" t="str">
        <f>claudeMessages($C24,'Tutorial How-To'!$E$37,"temperature",0)</f>
        <v>Michael Jordan.</v>
      </c>
      <c r="F24" s="24"/>
    </row>
    <row r="25" ht="86.25" customHeight="1">
      <c r="B25" s="25"/>
      <c r="C25" s="177"/>
      <c r="E25" s="94"/>
      <c r="F25" s="24"/>
    </row>
    <row r="26" ht="86.25" customHeight="1">
      <c r="B26" s="25"/>
      <c r="C26" s="178"/>
      <c r="E26" s="95"/>
      <c r="F26" s="24"/>
    </row>
    <row r="27" ht="15.75" customHeight="1">
      <c r="B27" s="25"/>
      <c r="F27" s="24"/>
    </row>
    <row r="28">
      <c r="B28" s="125" t="s">
        <v>293</v>
      </c>
      <c r="C28" s="126" t="s">
        <v>294</v>
      </c>
      <c r="F28" s="12"/>
    </row>
    <row r="29" outlineLevel="1">
      <c r="B29" s="127" t="s">
        <v>327</v>
      </c>
      <c r="F29" s="12"/>
    </row>
    <row r="30" ht="29.25" customHeight="1">
      <c r="B30" s="179"/>
      <c r="C30" s="179"/>
      <c r="D30" s="179"/>
      <c r="E30" s="180"/>
      <c r="F30" s="180"/>
    </row>
    <row r="31" ht="29.25" customHeight="1">
      <c r="A31" s="70"/>
      <c r="B31" s="71" t="s">
        <v>320</v>
      </c>
      <c r="C31" s="72"/>
      <c r="D31" s="72"/>
      <c r="E31" s="73" t="s">
        <v>253</v>
      </c>
      <c r="F31" s="74"/>
      <c r="G31" s="70"/>
    </row>
    <row r="32" ht="57.75" customHeight="1">
      <c r="B32" s="79" t="s">
        <v>328</v>
      </c>
      <c r="F32" s="12"/>
    </row>
    <row r="33" ht="8.25" customHeight="1">
      <c r="B33" s="25"/>
      <c r="F33" s="24"/>
    </row>
    <row r="34" ht="15.75" customHeight="1">
      <c r="B34" s="25"/>
      <c r="C34" s="26" t="s">
        <v>263</v>
      </c>
      <c r="E34" s="26" t="s">
        <v>264</v>
      </c>
      <c r="F34" s="24"/>
    </row>
    <row r="35" ht="57.75" customHeight="1">
      <c r="B35" s="25"/>
      <c r="C35" s="176" t="s">
        <v>329</v>
      </c>
      <c r="D35" s="90" t="s">
        <v>266</v>
      </c>
      <c r="E35" s="153" t="str">
        <f>claudeMessages($C35,'Tutorial How-To'!$E$37,"temperature",0, "max_tokens_to_sample", 4000)</f>
        <v>Here is a story that is over 800 words long, without a preamble:
The Forgotten Realm
The air was thick with the scent of ancient magic, a palpable energy that seemed to hum and vibrate through the very fabric of the world. Amidst the towering trees and winding paths of the Forgotten Realm, a lone figure moved with a sense of purpose, their steps light and sure.
This was Elara, a young sorceress whose power had been forged in the crucible of a lifetime spent studying the arcane arts. Her eyes, the color of molten gold, scanned the landscape with a keen, unwavering gaze, searching for the elusive portal that would lead her to her ultimate destination.
For years, Elara had heard whispers of the Forgotten Realm, a mystical land that lay beyond the veil of the mortal world. It was said to be a place of unimaginable power, where the very laws of nature bowed to the whims of those who had mastered the ancient magics. And Elara, driven by an insatiable curiosity and a thirst for knowledge, had dedicated her life to unlocking the secrets of this enigmatic realm.
As she navigated the winding paths, Elara's mind raced with the possibilities that lay before her. What wonders would she discover? What untapped reservoirs of power might she uncover? The anticipation was almost palpable, a electric current that coursed through her veins and spurred her onward.
Suddenly, a shimmer in the air caught her eye, and Elara's heart leapt with excitement. There, in the distance, was the shimmering portal she had been seeking – a gateway to the Forgotten Realm. Without hesitation, she quickened her pace, her robes billowing behind her as she drew closer and closer to the threshold.
As she approached the portal, Elara could feel the power radiating from it, a pulsing energy that seemed to call out to her very soul. Taking a deep breath, she steeled her nerves and stepped through the shimmering veil, her body tingling with the sensation of passing through the dimensional barrier.
The world on the other side was unlike anything Elara had ever seen. The sky was a kaleidoscope of colors, shifting and swirling in a mesmerizing dance, and the landscape was dotted with towering spires of crystal and strange, otherworldly flora. The air itself seemed to hum with a primal energy, and Elara could feel the power coursing through her veins, amplifying her own magical abilities.
Filled with a sense of wonder and trepidation, Elara began to explore the Forgotten Realm, her senses heightened and her mind racing with the possibilities that lay before her. She encountered strange and wondrous creatures, some benevolent and others decidedly more sinister, and she navigated treacherous landscapes and ancient ruins, uncovering fragments of a long-forgotten history.
As she delved deeper into the realm, Elara began to uncover the true nature of the power that resided here. It was a force that transcended the boundaries of the mortal world, a primal and elemental energy that could be harnessed and wielded by those who had the knowledge and the skill to do so.
And Elara, with her keen intellect and her unwavering determination, was determined to be one of those few. She spent countless hours poring over ancient tomes and scrolls, deciphering the arcane symbols and incantations that held the key to unlocking the Forgotten Realm's secrets.
Her efforts were not without their challenges, however. The realm was a capricious and unpredictable place, and Elara found herself facing formidable foes and treacherous obstacles at every turn. But with each challenge she overcame, her power and her understanding of the realm's mysteries grew, and she began to glimpse the true scope of the power that lay within her grasp.
As the days turned into weeks and the weeks into months, Elara's determination only grew stronger. She was driven by a singular purpose – to uncover the full extent of the Forgotten Realm's power and to harness it for the betterment of the mortal world.
And finally, after years of tireless study and exploration, Elara's efforts were rewarded. She discovered an ancient ritual, long-forgotten and shrouded in mystery, that would allow her to channel the raw, elemental power of the Forgotten Realm and use it to reshape the very fabric of reality.
With a sense of awe and trepidation, Elara began to prepare for the ritual, gathering the necessary components and aligning the celestial forces to create the perfect conditions for her work. And as the appointed time drew near, she could feel the power building within her, a surge of energy that threatened to overwhelm her senses.
But Elara was undaunted. She had come too far to turn back now, and with a steely determination, she began to weave the intricate tapestry of the ritual, her voice rising in a chant that echoed through the Forgotten Realm.
As the ritual reached its climax, the very air seemed to crackle with energy, and Elara could feel the power coursing through her, a torrent of raw, elemental force that threatened to consume her. But she held fast, her will unbreakable, and as the final incantation was spoken, a blinding flash of light filled the air, and the world seemed to tremble with the force of the transformation.
And in that moment, Elara knew that she had succeeded – that she had unlocked the true power of the Forgotten Realm and had forever changed the course of the mortal world. With a sense of awe and triumph, she stepped forward, her eyes shining with the light of her newfound power, ready to embark on the next chapter of her extraordinary journey.</v>
      </c>
      <c r="F35" s="24"/>
    </row>
    <row r="36" ht="57.75" customHeight="1">
      <c r="B36" s="25"/>
      <c r="C36" s="177"/>
      <c r="E36" s="94"/>
      <c r="F36" s="24"/>
    </row>
    <row r="37" ht="57.75" customHeight="1">
      <c r="B37" s="25"/>
      <c r="C37" s="177"/>
      <c r="E37" s="94"/>
      <c r="F37" s="24"/>
    </row>
    <row r="38" ht="57.75" customHeight="1">
      <c r="B38" s="25"/>
      <c r="C38" s="178"/>
      <c r="E38" s="95"/>
      <c r="F38" s="24"/>
    </row>
    <row r="39" ht="15.75" customHeight="1">
      <c r="B39" s="25"/>
      <c r="F39" s="24"/>
    </row>
    <row r="40">
      <c r="B40" s="125" t="s">
        <v>293</v>
      </c>
      <c r="C40" s="126" t="s">
        <v>294</v>
      </c>
      <c r="F40" s="12"/>
    </row>
    <row r="41" outlineLevel="1">
      <c r="B41" s="127" t="s">
        <v>330</v>
      </c>
      <c r="F41" s="12"/>
    </row>
    <row r="42">
      <c r="B42" s="9"/>
      <c r="C42" s="9"/>
      <c r="D42" s="9"/>
      <c r="E42" s="9"/>
      <c r="F42" s="9"/>
    </row>
    <row r="43">
      <c r="B43" s="119" t="s">
        <v>331</v>
      </c>
      <c r="E43" s="42" t="s">
        <v>332</v>
      </c>
    </row>
    <row r="44" ht="8.25" customHeight="1"/>
    <row r="45">
      <c r="B45" s="121" t="s">
        <v>253</v>
      </c>
    </row>
    <row r="46">
      <c r="B46" s="121" t="s">
        <v>286</v>
      </c>
    </row>
  </sheetData>
  <mergeCells count="29">
    <mergeCell ref="B1:E1"/>
    <mergeCell ref="B3:C3"/>
    <mergeCell ref="B8:D8"/>
    <mergeCell ref="E8:F8"/>
    <mergeCell ref="B9:F9"/>
    <mergeCell ref="D12:D15"/>
    <mergeCell ref="E12:E15"/>
    <mergeCell ref="C17:F17"/>
    <mergeCell ref="B18:F18"/>
    <mergeCell ref="B20:D20"/>
    <mergeCell ref="E20:F20"/>
    <mergeCell ref="B21:F21"/>
    <mergeCell ref="C24:C26"/>
    <mergeCell ref="D24:D26"/>
    <mergeCell ref="D35:D38"/>
    <mergeCell ref="E35:E38"/>
    <mergeCell ref="C40:F40"/>
    <mergeCell ref="B41:F41"/>
    <mergeCell ref="B43:D43"/>
    <mergeCell ref="E43:F43"/>
    <mergeCell ref="B45:F45"/>
    <mergeCell ref="B46:F46"/>
    <mergeCell ref="E24:E26"/>
    <mergeCell ref="C28:F28"/>
    <mergeCell ref="B29:F29"/>
    <mergeCell ref="B31:D31"/>
    <mergeCell ref="E31:F31"/>
    <mergeCell ref="B32:F32"/>
    <mergeCell ref="C35:C38"/>
  </mergeCells>
  <conditionalFormatting sqref="E12:E15">
    <cfRule type="containsText" dxfId="0" priority="1" operator="containsText" text="hola">
      <formula>NOT(ISERROR(SEARCH(("hola"),(E12))))</formula>
    </cfRule>
  </conditionalFormatting>
  <conditionalFormatting sqref="E35:E38">
    <cfRule type="expression" dxfId="0" priority="2">
      <formula>LEN(TRIM(E35)) - LEN(SUBSTITUTE(E35," ","")) + 1 &gt;= 800</formula>
    </cfRule>
  </conditionalFormatting>
  <conditionalFormatting sqref="E24:E26">
    <cfRule type="cellIs" dxfId="0" priority="3" operator="equal">
      <formula>"Michael Jordan"</formula>
    </cfRule>
  </conditionalFormatting>
  <hyperlinks>
    <hyperlink display="Exercise 2.1 - Spanish" location="C2Exercise1" ref="C4"/>
    <hyperlink display="Exercise 2.2 - One Player Only" location="C2Exercise2" ref="C5"/>
    <hyperlink display="Exercise 2.3 - Write a Story" location="C2Exercise3" ref="C6"/>
    <hyperlink display="Back to top ↑" location="C2ExerciseTitle" ref="E8"/>
    <hyperlink display="Back to top ↑" location="C2ExerciseTitle" ref="E20"/>
    <hyperlink display="Back to top ↑" location="C2ExerciseTitle" ref="E31"/>
    <hyperlink display="← Chapter 2: Being Clear and Direct" location="C2LessonTitle" ref="B43"/>
    <hyperlink display="Chapter 3: Assigning Roles (Role Prompting) →" location="C3LessonTitle" ref="E43"/>
    <hyperlink display="Back to top ↑" location="C2ExerciseTitle" ref="B45"/>
    <hyperlink display="Table of Contents" location="IntroTitle" ref="B46"/>
  </hyperlink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showGridLines="0" workbookViewId="0"/>
  </sheetViews>
  <sheetFormatPr customHeight="1" defaultColWidth="12.63" defaultRowHeight="15.75"/>
  <cols>
    <col customWidth="1" min="1" max="1" width="5.5"/>
    <col customWidth="1" min="2" max="2" width="3.0"/>
    <col customWidth="1" min="3" max="3" width="46.0"/>
    <col customWidth="1" min="4" max="4" width="4.0"/>
    <col customWidth="1" min="5" max="5" width="88.13"/>
    <col customWidth="1" min="6" max="6" width="3.0"/>
    <col customWidth="1" min="7" max="7" width="5.5"/>
  </cols>
  <sheetData>
    <row r="1" ht="32.25" customHeight="1">
      <c r="A1" s="1"/>
      <c r="B1" s="2" t="s">
        <v>333</v>
      </c>
      <c r="F1" s="3"/>
      <c r="G1" s="3"/>
    </row>
    <row r="2" ht="21.75" customHeight="1"/>
    <row r="3" ht="21.75" customHeight="1">
      <c r="A3" s="23"/>
      <c r="B3" s="68" t="s">
        <v>249</v>
      </c>
    </row>
    <row r="4" ht="15.75" customHeight="1">
      <c r="A4" s="23"/>
      <c r="C4" s="69" t="s">
        <v>226</v>
      </c>
    </row>
    <row r="5" ht="15.75" customHeight="1">
      <c r="A5" s="23"/>
      <c r="C5" s="69" t="s">
        <v>250</v>
      </c>
    </row>
    <row r="6" ht="15.75" customHeight="1">
      <c r="A6" s="23" t="s">
        <v>251</v>
      </c>
      <c r="C6" s="69" t="s">
        <v>252</v>
      </c>
    </row>
    <row r="7" ht="33.75" customHeight="1"/>
    <row r="8" ht="29.25" customHeight="1">
      <c r="A8" s="70"/>
      <c r="B8" s="71" t="s">
        <v>226</v>
      </c>
      <c r="C8" s="72"/>
      <c r="D8" s="72"/>
      <c r="E8" s="73" t="s">
        <v>253</v>
      </c>
      <c r="F8" s="74"/>
      <c r="G8" s="70"/>
    </row>
    <row r="9">
      <c r="B9" s="181" t="s">
        <v>334</v>
      </c>
      <c r="C9" s="48"/>
      <c r="D9" s="48"/>
      <c r="E9" s="48"/>
      <c r="F9" s="49"/>
    </row>
    <row r="10" ht="33.75" customHeight="1"/>
    <row r="11" ht="29.25" customHeight="1">
      <c r="B11" s="71" t="s">
        <v>250</v>
      </c>
      <c r="C11" s="72"/>
      <c r="D11" s="72"/>
      <c r="E11" s="73" t="s">
        <v>253</v>
      </c>
      <c r="F11" s="74"/>
    </row>
    <row r="12">
      <c r="B12" s="88" t="s">
        <v>335</v>
      </c>
      <c r="F12" s="12"/>
    </row>
    <row r="13" ht="8.25" customHeight="1">
      <c r="B13" s="22"/>
      <c r="F13" s="24"/>
    </row>
    <row r="14">
      <c r="B14" s="25"/>
      <c r="C14" s="26" t="s">
        <v>336</v>
      </c>
      <c r="E14" s="26" t="s">
        <v>264</v>
      </c>
      <c r="F14" s="24"/>
    </row>
    <row r="15" ht="48.75" customHeight="1">
      <c r="B15" s="25"/>
      <c r="C15" s="104"/>
      <c r="D15" s="90" t="s">
        <v>266</v>
      </c>
      <c r="E15" s="153" t="str">
        <f>claudeMessages($C18,'Tutorial How-To'!$E$37,"temperature",0,"system",$C15)</f>
        <v>Skateboarding is an exhilarating and creative form of self-expression that combines athleticism, artistry, and a unique sense of freedom and community.</v>
      </c>
      <c r="F15" s="24"/>
    </row>
    <row r="16" ht="8.25" customHeight="1">
      <c r="B16" s="25"/>
      <c r="C16" s="26"/>
      <c r="E16" s="94"/>
      <c r="F16" s="24"/>
    </row>
    <row r="17" ht="15.75" customHeight="1">
      <c r="B17" s="25"/>
      <c r="C17" s="26" t="s">
        <v>263</v>
      </c>
      <c r="E17" s="94"/>
      <c r="F17" s="24"/>
    </row>
    <row r="18" ht="48.75" customHeight="1">
      <c r="B18" s="25"/>
      <c r="C18" s="104" t="s">
        <v>337</v>
      </c>
      <c r="E18" s="95"/>
      <c r="F18" s="24"/>
    </row>
    <row r="19" ht="8.25" customHeight="1">
      <c r="B19" s="22"/>
      <c r="F19" s="24"/>
    </row>
    <row r="20" ht="15.75" customHeight="1">
      <c r="B20" s="25"/>
      <c r="C20" s="26"/>
      <c r="E20" s="26"/>
      <c r="F20" s="24"/>
    </row>
    <row r="21">
      <c r="B21" s="88" t="s">
        <v>338</v>
      </c>
      <c r="F21" s="12"/>
    </row>
    <row r="22" ht="8.25" customHeight="1">
      <c r="B22" s="22"/>
      <c r="F22" s="24"/>
    </row>
    <row r="23" ht="22.5" customHeight="1">
      <c r="B23" s="25"/>
      <c r="C23" s="26" t="s">
        <v>339</v>
      </c>
      <c r="E23" s="26" t="s">
        <v>264</v>
      </c>
      <c r="F23" s="24"/>
    </row>
    <row r="24" ht="48.75" customHeight="1">
      <c r="B24" s="25"/>
      <c r="C24" s="182" t="s">
        <v>340</v>
      </c>
      <c r="D24" s="90" t="s">
        <v>266</v>
      </c>
      <c r="E24" s="159" t="str">
        <f>claudeMessages($C27,'Tutorial How-To'!$E$37,"temperature",0,"system",$C24)</f>
        <v>*meows* Skateboarding looks like a fun way for humans to zoom around on four wheels while balancing precariously, though I much prefer chasing after feathers and napping in sunbeams.</v>
      </c>
      <c r="F24" s="24"/>
    </row>
    <row r="25" ht="8.25" customHeight="1">
      <c r="B25" s="25"/>
      <c r="C25" s="26"/>
      <c r="E25" s="94"/>
      <c r="F25" s="24"/>
    </row>
    <row r="26" ht="15.75" customHeight="1">
      <c r="B26" s="25"/>
      <c r="C26" s="26" t="s">
        <v>263</v>
      </c>
      <c r="E26" s="94"/>
      <c r="F26" s="24"/>
    </row>
    <row r="27" ht="48.75" customHeight="1">
      <c r="B27" s="25"/>
      <c r="C27" s="89" t="s">
        <v>337</v>
      </c>
      <c r="E27" s="95"/>
      <c r="F27" s="24"/>
    </row>
    <row r="28" ht="22.5" customHeight="1">
      <c r="B28" s="25"/>
      <c r="F28" s="24"/>
    </row>
    <row r="29">
      <c r="B29" s="88" t="s">
        <v>341</v>
      </c>
      <c r="F29" s="12"/>
    </row>
    <row r="30" ht="8.25" customHeight="1">
      <c r="B30" s="25"/>
      <c r="F30" s="24"/>
    </row>
    <row r="31">
      <c r="B31" s="25"/>
      <c r="C31" s="26" t="s">
        <v>336</v>
      </c>
      <c r="E31" s="26" t="s">
        <v>264</v>
      </c>
      <c r="F31" s="24"/>
    </row>
    <row r="32" ht="81.0" customHeight="1">
      <c r="B32" s="25"/>
      <c r="C32" s="104"/>
      <c r="D32" s="99" t="s">
        <v>266</v>
      </c>
      <c r="E32" s="153" t="str">
        <f>claudeMessages($C35,'Tutorial How-To'!$E$37,"temperature",0,"system",$C32)</f>
        <v>To solve this problem, we need to analyze the given information and determine if a married person is looking at an unmarried person.
Given information:
- Jack is looking at Anne.
- Anne is looking at George.
- Jack is married.
- George is not married.
- We don't know if Anne is married or not.
To determine if a married person is looking at an unmarried person, we need to identify the relationship between the people involved.
1. Jack is married and is looking at Anne.
2. We don't know if Anne is married or not.
3. Anne is looking at George, who is not married.
Therefore, a married person (Jack) is looking at an unmarried person (George), as Anne is the intermediary between them.
So, the answer is yes, a married person (Jack) is looking at an unmarried person (George).</v>
      </c>
      <c r="F32" s="24"/>
    </row>
    <row r="33" ht="8.25" customHeight="1">
      <c r="B33" s="25"/>
      <c r="C33" s="26"/>
      <c r="E33" s="94"/>
      <c r="F33" s="24"/>
    </row>
    <row r="34" ht="15.75" customHeight="1">
      <c r="B34" s="25"/>
      <c r="C34" s="26" t="s">
        <v>263</v>
      </c>
      <c r="E34" s="94"/>
      <c r="F34" s="24"/>
    </row>
    <row r="35" ht="122.25" customHeight="1">
      <c r="B35" s="25"/>
      <c r="C35" s="98" t="s">
        <v>342</v>
      </c>
      <c r="E35" s="95"/>
      <c r="F35" s="24"/>
    </row>
    <row r="36" ht="22.5" customHeight="1">
      <c r="B36" s="25"/>
      <c r="F36" s="24"/>
    </row>
    <row r="37">
      <c r="B37" s="88" t="s">
        <v>343</v>
      </c>
      <c r="F37" s="12"/>
    </row>
    <row r="38" ht="8.25" customHeight="1">
      <c r="B38" s="25"/>
      <c r="F38" s="24"/>
    </row>
    <row r="39">
      <c r="B39" s="25"/>
      <c r="C39" s="26" t="s">
        <v>339</v>
      </c>
      <c r="E39" s="26" t="s">
        <v>264</v>
      </c>
      <c r="F39" s="24"/>
    </row>
    <row r="40" ht="113.25" customHeight="1">
      <c r="B40" s="25"/>
      <c r="C40" s="182" t="s">
        <v>344</v>
      </c>
      <c r="D40" s="99" t="s">
        <v>266</v>
      </c>
      <c r="E40" s="159" t="str">
        <f>claudeMessages($C43,'Tutorial How-To'!$E$37,"temperature",0,"system",$C40)</f>
        <v>To solve this problem, we need to analyze the given information and determine the relationships between the individuals.
Given information:
- Jack is looking at Anne.
- Anne is looking at George.
- Jack is married.
- George is not married.
- We don't know if Anne is married or not.
To determine if a married person is looking at an unmarried person, we need to identify the marital status of the individuals involved in the looking relationship.
Let's analyze the relationships:
1. Jack is looking at Anne.
   - Jack is married, so he is a married person.
   - We don't know if Anne is married or not, so she could be either married or unmarried.
2. Anne is looking at George.
   - George is not married, so he is an unmarried person.
Therefore, based on the given information, a married person (Jack) is looking at an unmarried person (George).</v>
      </c>
      <c r="F40" s="24"/>
    </row>
    <row r="41" ht="8.25" customHeight="1">
      <c r="B41" s="25"/>
      <c r="C41" s="26"/>
      <c r="E41" s="94"/>
      <c r="F41" s="24"/>
    </row>
    <row r="42" ht="15.75" customHeight="1">
      <c r="B42" s="25"/>
      <c r="C42" s="26" t="s">
        <v>263</v>
      </c>
      <c r="E42" s="94"/>
      <c r="F42" s="24"/>
    </row>
    <row r="43" ht="137.25" customHeight="1">
      <c r="B43" s="25"/>
      <c r="C43" s="89" t="s">
        <v>342</v>
      </c>
      <c r="E43" s="95"/>
      <c r="F43" s="24"/>
    </row>
    <row r="44" ht="15.0" customHeight="1">
      <c r="B44" s="25"/>
      <c r="F44" s="24"/>
    </row>
    <row r="45">
      <c r="B45" s="88" t="s">
        <v>345</v>
      </c>
      <c r="F45" s="12"/>
    </row>
    <row r="46" ht="11.25" customHeight="1">
      <c r="B46" s="25"/>
      <c r="F46" s="24"/>
    </row>
    <row r="47">
      <c r="B47" s="117" t="s">
        <v>346</v>
      </c>
      <c r="C47" s="48"/>
      <c r="D47" s="48"/>
      <c r="E47" s="48"/>
      <c r="F47" s="49"/>
    </row>
    <row r="48" ht="15.75" customHeight="1"/>
    <row r="49" ht="15.75" customHeight="1">
      <c r="E49" s="42" t="s">
        <v>347</v>
      </c>
    </row>
    <row r="50" ht="33.75" customHeight="1"/>
    <row r="51" ht="29.25" customHeight="1">
      <c r="B51" s="71" t="s">
        <v>252</v>
      </c>
      <c r="C51" s="72"/>
      <c r="D51" s="72"/>
      <c r="E51" s="73" t="s">
        <v>253</v>
      </c>
      <c r="F51" s="74"/>
    </row>
    <row r="52">
      <c r="B52" s="88" t="s">
        <v>348</v>
      </c>
      <c r="F52" s="12"/>
    </row>
    <row r="53" ht="8.25" customHeight="1">
      <c r="B53" s="22"/>
      <c r="F53" s="24"/>
    </row>
    <row r="54">
      <c r="B54" s="25"/>
      <c r="C54" s="26" t="s">
        <v>336</v>
      </c>
      <c r="E54" s="26" t="s">
        <v>264</v>
      </c>
      <c r="F54" s="24"/>
    </row>
    <row r="55" ht="48.75" customHeight="1">
      <c r="B55" s="25"/>
      <c r="C55" s="104"/>
      <c r="D55" s="90" t="s">
        <v>266</v>
      </c>
      <c r="E55" s="153" t="str">
        <f>claudeMessages($C58,'Tutorial How-To'!$E$37,"temperature",0,"system",$C55)</f>
        <v>Skateboarding is an exhilarating and creative form of self-expression that combines athleticism, artistry, and a unique sense of freedom and community.</v>
      </c>
      <c r="F55" s="24"/>
    </row>
    <row r="56" ht="8.25" customHeight="1">
      <c r="B56" s="25"/>
      <c r="C56" s="26"/>
      <c r="E56" s="94"/>
      <c r="F56" s="24"/>
    </row>
    <row r="57" ht="15.75" customHeight="1">
      <c r="B57" s="25"/>
      <c r="C57" s="26" t="s">
        <v>263</v>
      </c>
      <c r="E57" s="94"/>
      <c r="F57" s="24"/>
    </row>
    <row r="58" ht="48.75" customHeight="1">
      <c r="B58" s="25"/>
      <c r="C58" s="104" t="s">
        <v>337</v>
      </c>
      <c r="E58" s="95"/>
      <c r="F58" s="24"/>
    </row>
    <row r="59" ht="8.25" customHeight="1">
      <c r="B59" s="25"/>
      <c r="F59" s="24"/>
    </row>
    <row r="60" ht="22.5" customHeight="1">
      <c r="B60" s="25"/>
      <c r="C60" s="26" t="s">
        <v>339</v>
      </c>
      <c r="E60" s="26" t="s">
        <v>264</v>
      </c>
      <c r="F60" s="24"/>
    </row>
    <row r="61" ht="48.75" customHeight="1">
      <c r="B61" s="25"/>
      <c r="C61" s="182" t="s">
        <v>349</v>
      </c>
      <c r="D61" s="90" t="s">
        <v>266</v>
      </c>
      <c r="E61" s="159" t="str">
        <f>claudeMessages($C64,'Tutorial How-To'!$E$37,"temperature",0,"system",$C61)</f>
        <v>Skateboarding is an exhilarating and creative form of self-expression that allows individuals to push the boundaries of what's possible through a unique blend of athleticism, artistry, and a rebellious spirit.</v>
      </c>
      <c r="F61" s="24"/>
    </row>
    <row r="62" ht="8.25" customHeight="1">
      <c r="B62" s="25"/>
      <c r="C62" s="26"/>
      <c r="E62" s="94"/>
      <c r="F62" s="24"/>
    </row>
    <row r="63" ht="15.75" customHeight="1">
      <c r="B63" s="25"/>
      <c r="C63" s="26" t="s">
        <v>263</v>
      </c>
      <c r="E63" s="94"/>
      <c r="F63" s="24"/>
    </row>
    <row r="64" ht="48.75" customHeight="1">
      <c r="B64" s="25"/>
      <c r="C64" s="89" t="s">
        <v>337</v>
      </c>
      <c r="E64" s="95"/>
      <c r="F64" s="24"/>
    </row>
    <row r="65" ht="8.25" customHeight="1">
      <c r="B65" s="25"/>
      <c r="F65" s="24"/>
    </row>
    <row r="66">
      <c r="B66" s="25"/>
      <c r="C66" s="26" t="s">
        <v>336</v>
      </c>
      <c r="E66" s="26" t="s">
        <v>264</v>
      </c>
      <c r="F66" s="24"/>
    </row>
    <row r="67" ht="81.0" customHeight="1">
      <c r="B67" s="25"/>
      <c r="C67" s="104"/>
      <c r="D67" s="99" t="s">
        <v>266</v>
      </c>
      <c r="E67" s="153" t="str">
        <f>claudeMessages($C70,'Tutorial How-To'!$E$37,"temperature",0,"system",$C67)</f>
        <v>To solve this problem, we need to analyze the given information and determine if a married person is looking at an unmarried person.
Given information:
- Jack is looking at Anne.
- Anne is looking at George.
- Jack is married.
- George is not married.
- We don't know if Anne is married or not.
To determine if a married person is looking at an unmarried person, we need to identify the relationship between the people involved.
1. Jack is married and is looking at Anne.
2. We don't know if Anne is married or not.
3. Anne is looking at George, who is not married.
Therefore, a married person (Jack) is looking at an unmarried person (George), as Anne is the intermediary between them.
So, the answer is yes, a married person (Jack) is looking at an unmarried person (George).</v>
      </c>
      <c r="F67" s="24"/>
    </row>
    <row r="68" ht="8.25" customHeight="1">
      <c r="B68" s="25"/>
      <c r="C68" s="26"/>
      <c r="E68" s="94"/>
      <c r="F68" s="24"/>
    </row>
    <row r="69" ht="15.75" customHeight="1">
      <c r="B69" s="25"/>
      <c r="C69" s="26" t="s">
        <v>263</v>
      </c>
      <c r="E69" s="94"/>
      <c r="F69" s="24"/>
    </row>
    <row r="70" ht="122.25" customHeight="1">
      <c r="B70" s="25"/>
      <c r="C70" s="98" t="s">
        <v>342</v>
      </c>
      <c r="E70" s="95"/>
      <c r="F70" s="24"/>
    </row>
    <row r="71" ht="8.25" customHeight="1">
      <c r="B71" s="25"/>
      <c r="F71" s="24"/>
    </row>
    <row r="72">
      <c r="B72" s="25"/>
      <c r="C72" s="26" t="s">
        <v>339</v>
      </c>
      <c r="E72" s="26" t="s">
        <v>264</v>
      </c>
      <c r="F72" s="24"/>
    </row>
    <row r="73" ht="113.25" customHeight="1">
      <c r="B73" s="25"/>
      <c r="C73" s="182" t="s">
        <v>344</v>
      </c>
      <c r="D73" s="99" t="s">
        <v>266</v>
      </c>
      <c r="E73" s="159" t="str">
        <f>claudeMessages($C76,'Tutorial How-To'!$E$37,"temperature",0,"system",$C73)</f>
        <v>To solve this problem, we need to analyze the given information and determine the relationships between the individuals.
Given information:
- Jack is looking at Anne.
- Anne is looking at George.
- Jack is married.
- George is not married.
- We don't know if Anne is married or not.
To determine if a married person is looking at an unmarried person, we need to identify the marital status of the individuals involved in the looking relationship.
Let's analyze the relationships:
1. Jack is looking at Anne.
   - Jack is married, so he is a married person.
   - We don't know if Anne is married or not, so she could be either married or unmarried.
2. Anne is looking at George.
   - George is not married, so he is an unmarried person.
Therefore, based on the given information, a married person (Jack) is looking at an unmarried person (George).</v>
      </c>
      <c r="F73" s="24"/>
    </row>
    <row r="74" ht="8.25" customHeight="1">
      <c r="B74" s="25"/>
      <c r="C74" s="26"/>
      <c r="E74" s="94"/>
      <c r="F74" s="24"/>
    </row>
    <row r="75" ht="15.75" customHeight="1">
      <c r="B75" s="25"/>
      <c r="C75" s="26" t="s">
        <v>263</v>
      </c>
      <c r="E75" s="94"/>
      <c r="F75" s="24"/>
    </row>
    <row r="76" ht="137.25" customHeight="1">
      <c r="B76" s="25"/>
      <c r="C76" s="89" t="s">
        <v>342</v>
      </c>
      <c r="E76" s="95"/>
      <c r="F76" s="24"/>
    </row>
    <row r="77">
      <c r="B77" s="118"/>
      <c r="C77" s="64"/>
      <c r="D77" s="64"/>
      <c r="E77" s="64"/>
      <c r="F77" s="65"/>
    </row>
    <row r="79">
      <c r="B79" s="119" t="s">
        <v>350</v>
      </c>
      <c r="E79" s="42" t="s">
        <v>347</v>
      </c>
    </row>
    <row r="80" ht="8.25" customHeight="1"/>
    <row r="81">
      <c r="B81" s="121" t="s">
        <v>253</v>
      </c>
    </row>
    <row r="82">
      <c r="B82" s="121" t="s">
        <v>286</v>
      </c>
    </row>
  </sheetData>
  <mergeCells count="37">
    <mergeCell ref="B1:E1"/>
    <mergeCell ref="B3:C3"/>
    <mergeCell ref="B8:D8"/>
    <mergeCell ref="E8:F8"/>
    <mergeCell ref="B9:F9"/>
    <mergeCell ref="E11:F11"/>
    <mergeCell ref="B12:F12"/>
    <mergeCell ref="B11:D11"/>
    <mergeCell ref="D15:D18"/>
    <mergeCell ref="E15:E18"/>
    <mergeCell ref="B21:F21"/>
    <mergeCell ref="D24:D27"/>
    <mergeCell ref="E24:E27"/>
    <mergeCell ref="B29:F29"/>
    <mergeCell ref="D32:D35"/>
    <mergeCell ref="E32:E35"/>
    <mergeCell ref="B37:F37"/>
    <mergeCell ref="D40:D43"/>
    <mergeCell ref="E40:E43"/>
    <mergeCell ref="B45:F45"/>
    <mergeCell ref="B47:F47"/>
    <mergeCell ref="E49:F49"/>
    <mergeCell ref="B51:D51"/>
    <mergeCell ref="E51:F51"/>
    <mergeCell ref="B52:F52"/>
    <mergeCell ref="D55:D58"/>
    <mergeCell ref="E55:E58"/>
    <mergeCell ref="E61:E64"/>
    <mergeCell ref="B81:F81"/>
    <mergeCell ref="B82:F82"/>
    <mergeCell ref="D61:D64"/>
    <mergeCell ref="D67:D70"/>
    <mergeCell ref="E67:E70"/>
    <mergeCell ref="D73:D76"/>
    <mergeCell ref="E73:E76"/>
    <mergeCell ref="B79:D79"/>
    <mergeCell ref="E79:F79"/>
  </mergeCells>
  <hyperlinks>
    <hyperlink display="Lesson" location="C3Lesson" ref="C4"/>
    <hyperlink display="Examples" location="C3Examples" ref="C5"/>
    <hyperlink display="Example Playground" location="C3ExamplePlayground" ref="C6"/>
    <hyperlink display="Back to top ↑" location="C3LessonTitle" ref="E8"/>
    <hyperlink display="Back to top ↑" location="C3LessonTitle" ref="E11"/>
    <hyperlink display="Chapter 3 Exercises: Assigning Roles →" location="C3ExerciseTitle" ref="E49"/>
    <hyperlink display="Back to top ↑" location="C3LessonTitle" ref="E51"/>
    <hyperlink display="← Chapter 2 Exercises: Being Clear and Direct" location="C2ExerciseTitle" ref="B79"/>
    <hyperlink display="Chapter 3 Exercises: Assigning Roles →" location="C3ExerciseTitle" ref="E79"/>
    <hyperlink display="Back to top ↑" location="C3LessonTitle" ref="B81"/>
    <hyperlink display="Table of Contents" location="IntroTitle" ref="B82"/>
  </hyperlink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showGridLines="0" workbookViewId="0"/>
  </sheetViews>
  <sheetFormatPr customHeight="1" defaultColWidth="12.63" defaultRowHeight="15.75" outlineLevelRow="1"/>
  <cols>
    <col customWidth="1" min="1" max="1" width="5.5"/>
    <col customWidth="1" min="2" max="2" width="3.0"/>
    <col customWidth="1" min="3" max="3" width="50.5"/>
    <col customWidth="1" min="4" max="4" width="4.0"/>
    <col customWidth="1" min="5" max="5" width="55.75"/>
    <col customWidth="1" min="6" max="6" width="3.0"/>
    <col customWidth="1" min="7" max="7" width="5.5"/>
  </cols>
  <sheetData>
    <row r="1" ht="32.25" customHeight="1">
      <c r="A1" s="1"/>
      <c r="B1" s="2" t="s">
        <v>351</v>
      </c>
      <c r="F1" s="3"/>
      <c r="G1" s="3"/>
    </row>
    <row r="2" ht="21.75" customHeight="1"/>
    <row r="3" ht="21.75" customHeight="1">
      <c r="A3" s="23"/>
      <c r="B3" s="68" t="s">
        <v>249</v>
      </c>
    </row>
    <row r="4" ht="15.75" customHeight="1">
      <c r="A4" s="23"/>
      <c r="C4" s="69" t="s">
        <v>352</v>
      </c>
    </row>
    <row r="5" ht="33.75" customHeight="1"/>
    <row r="6" ht="29.25" customHeight="1">
      <c r="A6" s="70"/>
      <c r="B6" s="71" t="s">
        <v>352</v>
      </c>
      <c r="C6" s="72"/>
      <c r="D6" s="72"/>
      <c r="E6" s="73" t="s">
        <v>253</v>
      </c>
      <c r="F6" s="74"/>
      <c r="G6" s="70"/>
    </row>
    <row r="7">
      <c r="B7" s="79" t="s">
        <v>353</v>
      </c>
      <c r="F7" s="12"/>
    </row>
    <row r="8" ht="11.25" customHeight="1">
      <c r="B8" s="25"/>
      <c r="F8" s="24"/>
    </row>
    <row r="9" ht="15.75" customHeight="1">
      <c r="B9" s="25"/>
      <c r="C9" s="26" t="s">
        <v>278</v>
      </c>
      <c r="E9" s="26" t="s">
        <v>264</v>
      </c>
      <c r="F9" s="24"/>
    </row>
    <row r="10" ht="139.5" customHeight="1">
      <c r="B10" s="25"/>
      <c r="C10" s="183" t="s">
        <v>354</v>
      </c>
      <c r="D10" s="90" t="s">
        <v>266</v>
      </c>
      <c r="E10" s="153" t="str">
        <f>claudeMessages($C13,'Tutorial How-To'!$E$37,"system",$C10,"temperature",0)</f>
        <v>Yes, the equation is solved correctly. Let's go through the steps:
Given equation:
2x - 3 = 9
Step 1: Isolate the variable x by adding 3 to both sides.
2x - 3 + 3 = 9 + 3
2x = 12
Step 2: Divide both sides by 2 to find the value of x.
2x / 2 = 12 / 2
x = 6
Therefore, the solution to the equation 2x - 3 = 9 is x = 3.</v>
      </c>
      <c r="F10" s="24"/>
    </row>
    <row r="11" ht="8.25" customHeight="1">
      <c r="B11" s="25"/>
      <c r="C11" s="26"/>
      <c r="E11" s="94"/>
      <c r="F11" s="24"/>
    </row>
    <row r="12" ht="15.75" customHeight="1">
      <c r="B12" s="25"/>
      <c r="C12" s="26" t="s">
        <v>263</v>
      </c>
      <c r="E12" s="94"/>
      <c r="F12" s="24"/>
    </row>
    <row r="13" ht="182.25" customHeight="1">
      <c r="B13" s="25"/>
      <c r="C13" s="124" t="s">
        <v>355</v>
      </c>
      <c r="E13" s="95"/>
      <c r="F13" s="24"/>
    </row>
    <row r="14" ht="15.75" customHeight="1">
      <c r="B14" s="25"/>
      <c r="F14" s="24"/>
    </row>
    <row r="15" ht="15.75" customHeight="1">
      <c r="B15" s="125" t="s">
        <v>293</v>
      </c>
      <c r="C15" s="126" t="s">
        <v>294</v>
      </c>
      <c r="F15" s="12"/>
    </row>
    <row r="16" outlineLevel="1">
      <c r="B16" s="127" t="s">
        <v>356</v>
      </c>
      <c r="F16" s="12"/>
    </row>
    <row r="17">
      <c r="B17" s="9"/>
      <c r="C17" s="9"/>
      <c r="D17" s="9"/>
      <c r="E17" s="9"/>
      <c r="F17" s="9"/>
    </row>
    <row r="18">
      <c r="B18" s="119" t="s">
        <v>357</v>
      </c>
      <c r="E18" s="42" t="s">
        <v>358</v>
      </c>
    </row>
    <row r="19" ht="8.25" customHeight="1"/>
    <row r="20">
      <c r="B20" s="121" t="s">
        <v>253</v>
      </c>
    </row>
    <row r="21">
      <c r="B21" s="121" t="s">
        <v>286</v>
      </c>
    </row>
  </sheetData>
  <mergeCells count="13">
    <mergeCell ref="C15:F15"/>
    <mergeCell ref="B16:F16"/>
    <mergeCell ref="B18:D18"/>
    <mergeCell ref="E18:F18"/>
    <mergeCell ref="B20:F20"/>
    <mergeCell ref="B21:F21"/>
    <mergeCell ref="B1:E1"/>
    <mergeCell ref="B3:C3"/>
    <mergeCell ref="B6:D6"/>
    <mergeCell ref="E6:F6"/>
    <mergeCell ref="B7:F7"/>
    <mergeCell ref="D10:D13"/>
    <mergeCell ref="E10:E13"/>
  </mergeCells>
  <conditionalFormatting sqref="E10:E13">
    <cfRule type="containsText" dxfId="0" priority="1" operator="containsText" text="incorrect">
      <formula>NOT(ISERROR(SEARCH(("incorrect"),(E10))))</formula>
    </cfRule>
  </conditionalFormatting>
  <conditionalFormatting sqref="E10:E13">
    <cfRule type="containsText" dxfId="0" priority="2" operator="containsText" text="not correct">
      <formula>NOT(ISERROR(SEARCH(("not correct"),(E10))))</formula>
    </cfRule>
  </conditionalFormatting>
  <conditionalFormatting sqref="E14">
    <cfRule type="containsText" dxfId="0" priority="3" operator="containsText" text="incorrectly">
      <formula>NOT(ISERROR(SEARCH(("incorrectly"),(E14))))</formula>
    </cfRule>
  </conditionalFormatting>
  <hyperlinks>
    <hyperlink display="Exercise 3.1 - Math Correction" location="C3Exercise1" ref="C4"/>
    <hyperlink display="Back to top ↑" location="C3ExerciseTitle" ref="E6"/>
    <hyperlink display="← Chapter 3: Assigning Roles" location="C3LessonTitle" ref="B18"/>
    <hyperlink display="Chapter 4: Separating Data and Instructions →" location="C4LessonTitle" ref="E18"/>
    <hyperlink display="Back to top ↑" location="C3ExerciseTitle" ref="B20"/>
    <hyperlink display="Table of Contents" location="IntroTitle" ref="B21"/>
  </hyperlink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showGridLines="0" workbookViewId="0"/>
  </sheetViews>
  <sheetFormatPr customHeight="1" defaultColWidth="12.63" defaultRowHeight="15.75"/>
  <cols>
    <col customWidth="1" min="1" max="1" width="5.5"/>
    <col customWidth="1" min="2" max="2" width="3.0"/>
    <col customWidth="1" min="3" max="3" width="28.25"/>
    <col customWidth="1" min="4" max="4" width="4.0"/>
    <col customWidth="1" min="5" max="5" width="22.63"/>
    <col customWidth="1" min="6" max="6" width="4.0"/>
    <col customWidth="1" min="7" max="7" width="33.63"/>
    <col customWidth="1" min="8" max="8" width="4.0"/>
    <col customWidth="1" min="9" max="9" width="52.25"/>
    <col customWidth="1" min="10" max="10" width="3.0"/>
    <col customWidth="1" min="11" max="11" width="5.5"/>
  </cols>
  <sheetData>
    <row r="1" ht="32.25" customHeight="1">
      <c r="A1" s="132"/>
      <c r="B1" s="133" t="s">
        <v>231</v>
      </c>
      <c r="H1" s="184"/>
      <c r="I1" s="185"/>
      <c r="J1" s="134"/>
      <c r="K1" s="134"/>
    </row>
    <row r="2" ht="21.75" customHeight="1">
      <c r="A2" s="107"/>
      <c r="B2" s="107"/>
      <c r="C2" s="107"/>
      <c r="D2" s="186"/>
      <c r="E2" s="107"/>
      <c r="F2" s="186"/>
      <c r="G2" s="107"/>
      <c r="H2" s="186"/>
      <c r="I2" s="142"/>
      <c r="J2" s="107"/>
      <c r="K2" s="107"/>
    </row>
    <row r="3" ht="21.75" customHeight="1">
      <c r="A3" s="135"/>
      <c r="B3" s="136" t="s">
        <v>249</v>
      </c>
      <c r="D3" s="186"/>
      <c r="E3" s="107"/>
      <c r="F3" s="186"/>
      <c r="G3" s="135"/>
      <c r="H3" s="187"/>
      <c r="I3" s="107"/>
      <c r="J3" s="107"/>
      <c r="K3" s="107"/>
    </row>
    <row r="4" ht="15.75" customHeight="1">
      <c r="A4" s="135"/>
      <c r="B4" s="107"/>
      <c r="C4" s="137" t="s">
        <v>226</v>
      </c>
      <c r="D4" s="186"/>
      <c r="E4" s="107"/>
      <c r="F4" s="186"/>
      <c r="G4" s="135"/>
      <c r="H4" s="186"/>
      <c r="I4" s="135"/>
      <c r="J4" s="107"/>
      <c r="K4" s="107"/>
    </row>
    <row r="5" ht="15.75" customHeight="1">
      <c r="A5" s="135"/>
      <c r="B5" s="107"/>
      <c r="C5" s="137" t="s">
        <v>250</v>
      </c>
      <c r="D5" s="186"/>
      <c r="E5" s="107"/>
      <c r="F5" s="186"/>
      <c r="G5" s="135"/>
      <c r="H5" s="186"/>
      <c r="I5" s="135"/>
      <c r="J5" s="107"/>
      <c r="K5" s="107"/>
    </row>
    <row r="6" ht="15.75" customHeight="1">
      <c r="A6" s="135" t="s">
        <v>251</v>
      </c>
      <c r="B6" s="107"/>
      <c r="C6" s="137" t="s">
        <v>252</v>
      </c>
      <c r="D6" s="186"/>
      <c r="E6" s="107"/>
      <c r="F6" s="186"/>
      <c r="G6" s="135" t="s">
        <v>251</v>
      </c>
      <c r="H6" s="186"/>
      <c r="I6" s="135"/>
      <c r="J6" s="107"/>
      <c r="K6" s="107"/>
    </row>
    <row r="7" ht="33.75" customHeight="1">
      <c r="A7" s="107"/>
      <c r="B7" s="138"/>
      <c r="C7" s="138"/>
      <c r="D7" s="188"/>
      <c r="E7" s="138"/>
      <c r="F7" s="188"/>
      <c r="G7" s="138"/>
      <c r="H7" s="188"/>
      <c r="I7" s="138"/>
      <c r="J7" s="138"/>
      <c r="K7" s="107"/>
    </row>
    <row r="8" ht="29.25" customHeight="1">
      <c r="A8" s="139"/>
      <c r="B8" s="140" t="s">
        <v>226</v>
      </c>
      <c r="F8" s="186"/>
      <c r="G8" s="142"/>
      <c r="H8" s="186"/>
      <c r="I8" s="141" t="s">
        <v>253</v>
      </c>
      <c r="J8" s="12"/>
      <c r="K8" s="142"/>
    </row>
    <row r="9">
      <c r="A9" s="105"/>
      <c r="B9" s="145" t="s">
        <v>359</v>
      </c>
      <c r="C9" s="48"/>
      <c r="D9" s="48"/>
      <c r="E9" s="48"/>
      <c r="F9" s="48"/>
      <c r="G9" s="48"/>
      <c r="H9" s="48"/>
      <c r="I9" s="48"/>
      <c r="J9" s="49"/>
      <c r="K9" s="107"/>
    </row>
    <row r="10" ht="33.75" customHeight="1">
      <c r="A10" s="107"/>
      <c r="B10" s="138"/>
      <c r="C10" s="138"/>
      <c r="D10" s="188"/>
      <c r="E10" s="138"/>
      <c r="F10" s="188"/>
      <c r="G10" s="138"/>
      <c r="H10" s="188"/>
      <c r="I10" s="189"/>
      <c r="J10" s="138"/>
      <c r="K10" s="107"/>
    </row>
    <row r="11" ht="29.25" customHeight="1">
      <c r="A11" s="105"/>
      <c r="B11" s="140" t="s">
        <v>250</v>
      </c>
      <c r="F11" s="186"/>
      <c r="G11" s="107"/>
      <c r="H11" s="186"/>
      <c r="I11" s="141" t="s">
        <v>253</v>
      </c>
      <c r="J11" s="12"/>
      <c r="K11" s="107"/>
    </row>
    <row r="12">
      <c r="A12" s="105"/>
      <c r="B12" s="146" t="s">
        <v>360</v>
      </c>
      <c r="J12" s="12"/>
      <c r="K12" s="107"/>
    </row>
    <row r="13" ht="8.25" customHeight="1">
      <c r="A13" s="105"/>
      <c r="B13" s="135"/>
      <c r="C13" s="107"/>
      <c r="D13" s="186"/>
      <c r="E13" s="107"/>
      <c r="F13" s="186"/>
      <c r="G13" s="107"/>
      <c r="H13" s="186"/>
      <c r="I13" s="142"/>
      <c r="J13" s="105"/>
      <c r="K13" s="107"/>
    </row>
    <row r="14">
      <c r="A14" s="105"/>
      <c r="B14" s="107"/>
      <c r="C14" s="190" t="s">
        <v>361</v>
      </c>
      <c r="D14" s="186"/>
      <c r="E14" s="191" t="s">
        <v>362</v>
      </c>
      <c r="F14" s="186"/>
      <c r="G14" s="192" t="s">
        <v>363</v>
      </c>
      <c r="H14" s="186"/>
      <c r="I14" s="193" t="s">
        <v>264</v>
      </c>
      <c r="J14" s="105"/>
      <c r="K14" s="107"/>
    </row>
    <row r="15" ht="105.75" customHeight="1">
      <c r="A15" s="105"/>
      <c r="B15" s="194"/>
      <c r="C15" s="195" t="s">
        <v>364</v>
      </c>
      <c r="D15" s="196" t="s">
        <v>365</v>
      </c>
      <c r="E15" s="197" t="s">
        <v>366</v>
      </c>
      <c r="F15" s="198" t="s">
        <v>367</v>
      </c>
      <c r="G15" s="148" t="str">
        <f>substitute(C15,"{{ANIMAL}}",E15)</f>
        <v>User: I will tell you the name of an animal. Please respond with the noise that animal makes. Cow</v>
      </c>
      <c r="H15" s="199" t="s">
        <v>266</v>
      </c>
      <c r="I15" s="91" t="str">
        <f>claudeMessages($G15,'Tutorial How-To'!$E$37,"temperature",0)</f>
        <v>Moo.</v>
      </c>
      <c r="J15" s="105"/>
      <c r="K15" s="107"/>
    </row>
    <row r="16" ht="15.75" customHeight="1">
      <c r="A16" s="105"/>
      <c r="B16" s="107"/>
      <c r="C16" s="200"/>
      <c r="D16" s="187"/>
      <c r="E16" s="200"/>
      <c r="F16" s="186"/>
      <c r="G16" s="200"/>
      <c r="H16" s="186"/>
      <c r="I16" s="200"/>
      <c r="J16" s="105"/>
      <c r="K16" s="107"/>
    </row>
    <row r="17">
      <c r="A17" s="105"/>
      <c r="B17" s="146" t="s">
        <v>368</v>
      </c>
      <c r="J17" s="12"/>
      <c r="K17" s="107"/>
    </row>
    <row r="18" ht="11.25" customHeight="1">
      <c r="A18" s="105"/>
      <c r="B18" s="135"/>
      <c r="C18" s="135"/>
      <c r="D18" s="187"/>
      <c r="E18" s="135"/>
      <c r="F18" s="187"/>
      <c r="G18" s="135"/>
      <c r="H18" s="187"/>
      <c r="I18" s="135"/>
      <c r="J18" s="144"/>
      <c r="K18" s="107"/>
    </row>
    <row r="19">
      <c r="A19" s="105"/>
      <c r="B19" s="146" t="s">
        <v>369</v>
      </c>
      <c r="J19" s="12"/>
      <c r="K19" s="107"/>
    </row>
    <row r="20" ht="8.25" customHeight="1">
      <c r="A20" s="105"/>
      <c r="B20" s="107"/>
      <c r="C20" s="107"/>
      <c r="D20" s="186"/>
      <c r="E20" s="107"/>
      <c r="F20" s="186"/>
      <c r="G20" s="107"/>
      <c r="H20" s="186"/>
      <c r="I20" s="142"/>
      <c r="J20" s="105"/>
      <c r="K20" s="107"/>
    </row>
    <row r="21">
      <c r="A21" s="105"/>
      <c r="B21" s="107"/>
      <c r="C21" s="190" t="s">
        <v>361</v>
      </c>
      <c r="D21" s="186"/>
      <c r="E21" s="191" t="s">
        <v>370</v>
      </c>
      <c r="F21" s="186"/>
      <c r="G21" s="192" t="s">
        <v>363</v>
      </c>
      <c r="H21" s="186"/>
      <c r="I21" s="193" t="s">
        <v>264</v>
      </c>
      <c r="J21" s="105"/>
      <c r="K21" s="107"/>
    </row>
    <row r="22" ht="47.25" customHeight="1">
      <c r="A22" s="105"/>
      <c r="B22" s="194"/>
      <c r="C22" s="201" t="s">
        <v>371</v>
      </c>
      <c r="D22" s="196" t="s">
        <v>365</v>
      </c>
      <c r="E22" s="202" t="s">
        <v>372</v>
      </c>
      <c r="F22" s="198" t="s">
        <v>367</v>
      </c>
      <c r="G22" s="152" t="str">
        <f>substitute(C22,"{{EMAIL}}",E22)</f>
        <v>User: Yo Claude. Show up at 6am tomorrow because I'm the CEO and I say so. &lt;----- Make this email more polite but don't change anything else about it.</v>
      </c>
      <c r="H22" s="199" t="s">
        <v>266</v>
      </c>
      <c r="I22" s="153" t="str">
        <f>claudeMessages($G22,'Tutorial How-To'!$E$37,"temperature",0)</f>
        <v>Dear [Your Name],
I hope this email finds you well. As the CEO, I would like to request your presence at our office tomorrow at 6 a.m. I understand this may be an early start, but I believe it is necessary for the success of our company.
Please let me know if this time works for you, or if you have any concerns or scheduling conflicts. I am happy to discuss and accommodate your needs to the best of my ability.
Thank you for your time and dedication to our organization.
Best regards,
[Your Name]
CEO</v>
      </c>
      <c r="J22" s="105"/>
      <c r="K22" s="107"/>
    </row>
    <row r="23" ht="47.25" customHeight="1">
      <c r="A23" s="105"/>
      <c r="B23" s="194"/>
      <c r="C23" s="177"/>
      <c r="D23" s="113"/>
      <c r="E23" s="113"/>
      <c r="F23" s="113"/>
      <c r="G23" s="113"/>
      <c r="H23" s="113"/>
      <c r="I23" s="94"/>
      <c r="J23" s="105"/>
      <c r="K23" s="107"/>
    </row>
    <row r="24" ht="47.25" customHeight="1">
      <c r="A24" s="105"/>
      <c r="B24" s="194"/>
      <c r="C24" s="177"/>
      <c r="D24" s="113"/>
      <c r="E24" s="113"/>
      <c r="F24" s="113"/>
      <c r="G24" s="113"/>
      <c r="H24" s="113"/>
      <c r="I24" s="94"/>
      <c r="J24" s="105"/>
      <c r="K24" s="107"/>
    </row>
    <row r="25" ht="47.25" customHeight="1">
      <c r="A25" s="105"/>
      <c r="B25" s="194"/>
      <c r="C25" s="177"/>
      <c r="D25" s="113"/>
      <c r="E25" s="113"/>
      <c r="F25" s="113"/>
      <c r="G25" s="113"/>
      <c r="H25" s="113"/>
      <c r="I25" s="94"/>
      <c r="J25" s="105"/>
      <c r="K25" s="107"/>
    </row>
    <row r="26" ht="47.25" customHeight="1">
      <c r="A26" s="105"/>
      <c r="B26" s="194"/>
      <c r="C26" s="178"/>
      <c r="D26" s="113"/>
      <c r="E26" s="154"/>
      <c r="F26" s="113"/>
      <c r="G26" s="154"/>
      <c r="H26" s="113"/>
      <c r="I26" s="95"/>
      <c r="J26" s="105"/>
      <c r="K26" s="107"/>
    </row>
    <row r="27" ht="15.75" customHeight="1">
      <c r="A27" s="105"/>
      <c r="B27" s="107"/>
      <c r="C27" s="200"/>
      <c r="D27" s="187"/>
      <c r="E27" s="200"/>
      <c r="F27" s="186"/>
      <c r="G27" s="200"/>
      <c r="H27" s="186"/>
      <c r="I27" s="200"/>
      <c r="J27" s="105"/>
      <c r="K27" s="107"/>
    </row>
    <row r="28">
      <c r="A28" s="105"/>
      <c r="B28" s="146" t="s">
        <v>373</v>
      </c>
      <c r="J28" s="12"/>
      <c r="K28" s="107"/>
    </row>
    <row r="29" ht="11.25" customHeight="1">
      <c r="A29" s="105"/>
      <c r="B29" s="135"/>
      <c r="C29" s="135"/>
      <c r="D29" s="187"/>
      <c r="E29" s="135"/>
      <c r="F29" s="187"/>
      <c r="G29" s="135"/>
      <c r="H29" s="187"/>
      <c r="I29" s="135"/>
      <c r="J29" s="144"/>
      <c r="K29" s="107"/>
    </row>
    <row r="30">
      <c r="A30" s="105"/>
      <c r="B30" s="203" t="s">
        <v>374</v>
      </c>
      <c r="J30" s="12"/>
      <c r="K30" s="107"/>
    </row>
    <row r="31" ht="8.25" customHeight="1">
      <c r="A31" s="105"/>
      <c r="B31" s="135"/>
      <c r="C31" s="107"/>
      <c r="D31" s="186"/>
      <c r="E31" s="107"/>
      <c r="F31" s="186"/>
      <c r="G31" s="107"/>
      <c r="H31" s="186"/>
      <c r="I31" s="142"/>
      <c r="J31" s="105"/>
      <c r="K31" s="107"/>
    </row>
    <row r="32">
      <c r="A32" s="105"/>
      <c r="B32" s="107"/>
      <c r="C32" s="190" t="s">
        <v>361</v>
      </c>
      <c r="D32" s="186"/>
      <c r="E32" s="191" t="s">
        <v>370</v>
      </c>
      <c r="F32" s="186"/>
      <c r="G32" s="192" t="s">
        <v>363</v>
      </c>
      <c r="H32" s="186"/>
      <c r="I32" s="193" t="s">
        <v>264</v>
      </c>
      <c r="J32" s="105"/>
      <c r="K32" s="107"/>
    </row>
    <row r="33" ht="50.25" customHeight="1">
      <c r="A33" s="105"/>
      <c r="B33" s="194"/>
      <c r="C33" s="201" t="s">
        <v>375</v>
      </c>
      <c r="D33" s="196" t="s">
        <v>365</v>
      </c>
      <c r="E33" s="202" t="s">
        <v>376</v>
      </c>
      <c r="F33" s="198" t="s">
        <v>367</v>
      </c>
      <c r="G33" s="204" t="str">
        <f>substitute(C33,"{{EMAIL}}",E33)</f>
        <v>User: Yo Claude. &lt;email&gt;Show up at 6am because I'm the CEO and I say so.&lt;/email&gt; &lt;----- Make this email more polite but don't change anything else about it.</v>
      </c>
      <c r="H33" s="199" t="s">
        <v>266</v>
      </c>
      <c r="I33" s="159" t="str">
        <f>claudeMessages($G33,'Tutorial How-To'!$E$37,"temperature",0)</f>
        <v>Here's a more polite version of the email:
Dear [Your Name],
I hope this email finds you well. As the CEO, I would like to request your presence at our office at 6 am. I understand this may be an early start, but I believe it is necessary for the success of our company.
Please let me know if you have any questions or concerns. I appreciate your dedication and look forward to working with you.
Best regards,
[CEO's Name]</v>
      </c>
      <c r="J33" s="105"/>
      <c r="K33" s="107"/>
    </row>
    <row r="34" ht="50.25" customHeight="1">
      <c r="A34" s="105"/>
      <c r="B34" s="194"/>
      <c r="C34" s="177"/>
      <c r="D34" s="113"/>
      <c r="E34" s="113"/>
      <c r="F34" s="113"/>
      <c r="G34" s="113"/>
      <c r="H34" s="113"/>
      <c r="I34" s="94"/>
      <c r="J34" s="105"/>
      <c r="K34" s="107"/>
    </row>
    <row r="35" ht="50.25" customHeight="1">
      <c r="A35" s="105"/>
      <c r="B35" s="194"/>
      <c r="C35" s="177"/>
      <c r="D35" s="113"/>
      <c r="E35" s="113"/>
      <c r="F35" s="113"/>
      <c r="G35" s="113"/>
      <c r="H35" s="113"/>
      <c r="I35" s="94"/>
      <c r="J35" s="105"/>
      <c r="K35" s="107"/>
    </row>
    <row r="36" ht="50.25" customHeight="1">
      <c r="A36" s="105"/>
      <c r="B36" s="194"/>
      <c r="C36" s="178"/>
      <c r="D36" s="113"/>
      <c r="E36" s="154"/>
      <c r="F36" s="113"/>
      <c r="G36" s="154"/>
      <c r="H36" s="113"/>
      <c r="I36" s="95"/>
      <c r="J36" s="105"/>
      <c r="K36" s="107"/>
    </row>
    <row r="37" ht="15.75" customHeight="1">
      <c r="A37" s="105"/>
      <c r="B37" s="107"/>
      <c r="C37" s="200"/>
      <c r="D37" s="187"/>
      <c r="E37" s="200"/>
      <c r="F37" s="186"/>
      <c r="G37" s="200"/>
      <c r="H37" s="186"/>
      <c r="I37" s="200"/>
      <c r="J37" s="105"/>
      <c r="K37" s="107"/>
    </row>
    <row r="38">
      <c r="A38" s="105"/>
      <c r="B38" s="146" t="s">
        <v>377</v>
      </c>
      <c r="J38" s="12"/>
      <c r="K38" s="107"/>
    </row>
    <row r="39" ht="8.25" customHeight="1">
      <c r="A39" s="105"/>
      <c r="B39" s="135"/>
      <c r="C39" s="107"/>
      <c r="D39" s="186"/>
      <c r="E39" s="107"/>
      <c r="F39" s="186"/>
      <c r="G39" s="107"/>
      <c r="H39" s="186"/>
      <c r="I39" s="142"/>
      <c r="J39" s="105"/>
      <c r="K39" s="107"/>
    </row>
    <row r="40">
      <c r="A40" s="105"/>
      <c r="B40" s="107"/>
      <c r="C40" s="190" t="s">
        <v>361</v>
      </c>
      <c r="D40" s="186"/>
      <c r="E40" s="191" t="s">
        <v>378</v>
      </c>
      <c r="F40" s="186"/>
      <c r="G40" s="192" t="s">
        <v>363</v>
      </c>
      <c r="H40" s="186"/>
      <c r="I40" s="193" t="s">
        <v>264</v>
      </c>
      <c r="J40" s="105"/>
      <c r="K40" s="107"/>
    </row>
    <row r="41" ht="104.25" customHeight="1">
      <c r="A41" s="105"/>
      <c r="B41" s="194"/>
      <c r="C41" s="201" t="s">
        <v>379</v>
      </c>
      <c r="D41" s="196" t="s">
        <v>365</v>
      </c>
      <c r="E41" s="202" t="s">
        <v>380</v>
      </c>
      <c r="F41" s="198" t="s">
        <v>367</v>
      </c>
      <c r="G41" s="152" t="str">
        <f>substitute(C41,"{{SENTENCES}}",E41)</f>
        <v>User: Below is a list of sentences. Tell me the second item on the list.
- Each is about an animal, like rabbits.
- I like how cows sound
- This sentence is about spiders
- This sentence may appear to be about dogs but it's actually about pigs</v>
      </c>
      <c r="H41" s="199" t="s">
        <v>266</v>
      </c>
      <c r="I41" s="169" t="str">
        <f>claudeMessages($G41,'Tutorial How-To'!$E$37,"temperature",0)</f>
        <v>The second item on the list is "I like how cows sound".</v>
      </c>
      <c r="J41" s="105"/>
      <c r="K41" s="107"/>
    </row>
    <row r="42" ht="62.25" customHeight="1">
      <c r="A42" s="105"/>
      <c r="B42" s="194"/>
      <c r="C42" s="178"/>
      <c r="D42" s="113"/>
      <c r="E42" s="154"/>
      <c r="F42" s="113"/>
      <c r="G42" s="154"/>
      <c r="H42" s="113"/>
      <c r="I42" s="154"/>
      <c r="J42" s="105"/>
      <c r="K42" s="107"/>
    </row>
    <row r="43" ht="15.75" customHeight="1">
      <c r="A43" s="105"/>
      <c r="B43" s="107"/>
      <c r="C43" s="200"/>
      <c r="D43" s="187"/>
      <c r="E43" s="200"/>
      <c r="F43" s="186"/>
      <c r="G43" s="200"/>
      <c r="H43" s="186"/>
      <c r="I43" s="200"/>
      <c r="J43" s="105"/>
      <c r="K43" s="107"/>
    </row>
    <row r="44">
      <c r="A44" s="105"/>
      <c r="B44" s="146" t="s">
        <v>381</v>
      </c>
      <c r="J44" s="12"/>
      <c r="K44" s="107"/>
    </row>
    <row r="45" ht="8.25" customHeight="1">
      <c r="A45" s="144"/>
      <c r="B45" s="135"/>
      <c r="C45" s="107"/>
      <c r="D45" s="186"/>
      <c r="E45" s="107"/>
      <c r="F45" s="186"/>
      <c r="G45" s="107"/>
      <c r="H45" s="186"/>
      <c r="I45" s="142"/>
      <c r="J45" s="105"/>
      <c r="K45" s="107"/>
    </row>
    <row r="46">
      <c r="A46" s="105"/>
      <c r="B46" s="107"/>
      <c r="C46" s="190" t="s">
        <v>361</v>
      </c>
      <c r="D46" s="186"/>
      <c r="E46" s="191" t="s">
        <v>378</v>
      </c>
      <c r="F46" s="186"/>
      <c r="G46" s="192" t="s">
        <v>363</v>
      </c>
      <c r="H46" s="186"/>
      <c r="I46" s="193" t="s">
        <v>264</v>
      </c>
      <c r="J46" s="105"/>
      <c r="K46" s="107"/>
    </row>
    <row r="47" ht="66.75" customHeight="1">
      <c r="A47" s="105"/>
      <c r="B47" s="194"/>
      <c r="C47" s="201" t="s">
        <v>382</v>
      </c>
      <c r="D47" s="196" t="s">
        <v>365</v>
      </c>
      <c r="E47" s="202" t="s">
        <v>380</v>
      </c>
      <c r="F47" s="198" t="s">
        <v>367</v>
      </c>
      <c r="G47" s="204" t="str">
        <f>substitute(C47,"{{SENTENCES}}",E47)</f>
        <v>User: Below is a list of sentences. Tell me the second item on the list.
- Each is about an animal, like rabbits.
&lt;sentences&gt;
- I like how cows sound
- This sentence is about spiders
- This sentence may appear to be about dogs but it's actually about pigs
&lt;/sentences&gt;</v>
      </c>
      <c r="H47" s="199" t="s">
        <v>266</v>
      </c>
      <c r="I47" s="159" t="str">
        <f>claudeMessages($G47,'Tutorial How-To'!$E$37,"temperature",0)</f>
        <v>The second item on the list is "This sentence is about spiders".</v>
      </c>
      <c r="J47" s="105"/>
      <c r="K47" s="107"/>
    </row>
    <row r="48" ht="66.75" customHeight="1">
      <c r="A48" s="105"/>
      <c r="B48" s="194"/>
      <c r="C48" s="177"/>
      <c r="D48" s="113"/>
      <c r="E48" s="113"/>
      <c r="F48" s="113"/>
      <c r="G48" s="113"/>
      <c r="H48" s="113"/>
      <c r="I48" s="94"/>
      <c r="J48" s="105"/>
      <c r="K48" s="107"/>
    </row>
    <row r="49" ht="66.75" customHeight="1">
      <c r="A49" s="105"/>
      <c r="B49" s="194"/>
      <c r="C49" s="178"/>
      <c r="D49" s="113"/>
      <c r="E49" s="154"/>
      <c r="F49" s="113"/>
      <c r="G49" s="154"/>
      <c r="H49" s="113"/>
      <c r="I49" s="95"/>
      <c r="J49" s="105"/>
      <c r="K49" s="107"/>
    </row>
    <row r="50" ht="15.75" customHeight="1">
      <c r="A50" s="105"/>
      <c r="B50" s="107"/>
      <c r="C50" s="200"/>
      <c r="D50" s="187"/>
      <c r="E50" s="200"/>
      <c r="F50" s="186"/>
      <c r="G50" s="200"/>
      <c r="H50" s="186"/>
      <c r="I50" s="200"/>
      <c r="J50" s="105"/>
      <c r="K50" s="107"/>
    </row>
    <row r="51">
      <c r="A51" s="105"/>
      <c r="B51" s="205" t="s">
        <v>383</v>
      </c>
      <c r="J51" s="12"/>
      <c r="K51" s="107"/>
    </row>
    <row r="52" ht="15.75" customHeight="1">
      <c r="A52" s="105"/>
      <c r="B52" s="107"/>
      <c r="C52" s="107"/>
      <c r="D52" s="186"/>
      <c r="E52" s="107"/>
      <c r="F52" s="186"/>
      <c r="G52" s="107"/>
      <c r="H52" s="186"/>
      <c r="I52" s="142"/>
      <c r="J52" s="105"/>
      <c r="K52" s="107"/>
    </row>
    <row r="53" ht="15.75" customHeight="1">
      <c r="A53" s="105"/>
      <c r="B53" s="145" t="s">
        <v>384</v>
      </c>
      <c r="C53" s="48"/>
      <c r="D53" s="48"/>
      <c r="E53" s="48"/>
      <c r="F53" s="48"/>
      <c r="G53" s="48"/>
      <c r="H53" s="48"/>
      <c r="I53" s="48"/>
      <c r="J53" s="49"/>
      <c r="K53" s="107"/>
    </row>
    <row r="54" ht="15.75" customHeight="1">
      <c r="A54" s="107"/>
      <c r="B54" s="107"/>
      <c r="C54" s="107"/>
      <c r="D54" s="107"/>
      <c r="E54" s="107"/>
      <c r="F54" s="107"/>
      <c r="G54" s="107"/>
      <c r="H54" s="187"/>
      <c r="I54" s="135"/>
      <c r="J54" s="135"/>
      <c r="K54" s="107"/>
    </row>
    <row r="55" ht="15.75" customHeight="1">
      <c r="A55" s="107"/>
      <c r="B55" s="107"/>
      <c r="C55" s="107"/>
      <c r="D55" s="107"/>
      <c r="E55" s="107"/>
      <c r="F55" s="107"/>
      <c r="G55" s="107"/>
      <c r="H55" s="186"/>
      <c r="I55" s="163" t="s">
        <v>385</v>
      </c>
      <c r="K55" s="107"/>
    </row>
    <row r="56" ht="33.75" customHeight="1">
      <c r="A56" s="107"/>
      <c r="B56" s="138"/>
      <c r="C56" s="138"/>
      <c r="D56" s="138"/>
      <c r="E56" s="138"/>
      <c r="F56" s="138"/>
      <c r="G56" s="138"/>
      <c r="H56" s="188"/>
      <c r="I56" s="189"/>
      <c r="J56" s="138"/>
      <c r="K56" s="107"/>
    </row>
    <row r="57" ht="29.25" customHeight="1">
      <c r="A57" s="105"/>
      <c r="B57" s="140" t="s">
        <v>252</v>
      </c>
      <c r="F57" s="186"/>
      <c r="G57" s="107"/>
      <c r="H57" s="186"/>
      <c r="I57" s="141" t="s">
        <v>253</v>
      </c>
      <c r="J57" s="12"/>
      <c r="K57" s="107"/>
    </row>
    <row r="58">
      <c r="A58" s="105"/>
      <c r="B58" s="146" t="s">
        <v>386</v>
      </c>
      <c r="J58" s="12"/>
      <c r="K58" s="107"/>
    </row>
    <row r="59" ht="8.25" customHeight="1">
      <c r="A59" s="105"/>
      <c r="B59" s="135"/>
      <c r="C59" s="107"/>
      <c r="D59" s="186"/>
      <c r="E59" s="107"/>
      <c r="F59" s="186"/>
      <c r="G59" s="107"/>
      <c r="H59" s="186"/>
      <c r="I59" s="142"/>
      <c r="J59" s="105"/>
      <c r="K59" s="107"/>
    </row>
    <row r="60">
      <c r="A60" s="105"/>
      <c r="B60" s="107"/>
      <c r="C60" s="190" t="s">
        <v>361</v>
      </c>
      <c r="D60" s="186"/>
      <c r="E60" s="191" t="s">
        <v>362</v>
      </c>
      <c r="F60" s="186"/>
      <c r="G60" s="192" t="s">
        <v>363</v>
      </c>
      <c r="H60" s="186"/>
      <c r="I60" s="193" t="s">
        <v>264</v>
      </c>
      <c r="J60" s="105"/>
      <c r="K60" s="107"/>
    </row>
    <row r="61" ht="105.75" customHeight="1">
      <c r="A61" s="105"/>
      <c r="B61" s="194"/>
      <c r="C61" s="195" t="s">
        <v>364</v>
      </c>
      <c r="D61" s="196" t="s">
        <v>365</v>
      </c>
      <c r="E61" s="197" t="s">
        <v>366</v>
      </c>
      <c r="F61" s="198" t="s">
        <v>367</v>
      </c>
      <c r="G61" s="148" t="str">
        <f>substitute(C61,"{{ANIMAL}}",E61)</f>
        <v>User: I will tell you the name of an animal. Please respond with the noise that animal makes. Cow</v>
      </c>
      <c r="H61" s="199" t="s">
        <v>266</v>
      </c>
      <c r="I61" s="206" t="str">
        <f>claudeMessages($G61,'Tutorial How-To'!$E$37,"temperature",0)</f>
        <v>Moo.</v>
      </c>
      <c r="J61" s="105"/>
      <c r="K61" s="107"/>
    </row>
    <row r="62" ht="8.25" customHeight="1">
      <c r="A62" s="105"/>
      <c r="B62" s="107"/>
      <c r="C62" s="107"/>
      <c r="D62" s="186"/>
      <c r="E62" s="107"/>
      <c r="F62" s="186"/>
      <c r="G62" s="107"/>
      <c r="H62" s="186"/>
      <c r="I62" s="142"/>
      <c r="J62" s="105"/>
      <c r="K62" s="107"/>
    </row>
    <row r="63">
      <c r="A63" s="105"/>
      <c r="B63" s="107"/>
      <c r="C63" s="190" t="s">
        <v>361</v>
      </c>
      <c r="D63" s="186"/>
      <c r="E63" s="191" t="s">
        <v>370</v>
      </c>
      <c r="F63" s="186"/>
      <c r="G63" s="192" t="s">
        <v>363</v>
      </c>
      <c r="H63" s="186"/>
      <c r="I63" s="193" t="s">
        <v>264</v>
      </c>
      <c r="J63" s="105"/>
      <c r="K63" s="107"/>
    </row>
    <row r="64" ht="47.25" customHeight="1">
      <c r="A64" s="105"/>
      <c r="B64" s="194"/>
      <c r="C64" s="201" t="s">
        <v>371</v>
      </c>
      <c r="D64" s="196" t="s">
        <v>365</v>
      </c>
      <c r="E64" s="202" t="s">
        <v>372</v>
      </c>
      <c r="F64" s="198" t="s">
        <v>367</v>
      </c>
      <c r="G64" s="152" t="str">
        <f>substitute(C64,"{{EMAIL}}",E64)</f>
        <v>User: Yo Claude. Show up at 6am tomorrow because I'm the CEO and I say so. &lt;----- Make this email more polite but don't change anything else about it.</v>
      </c>
      <c r="H64" s="199" t="s">
        <v>266</v>
      </c>
      <c r="I64" s="153" t="str">
        <f>claudeMessages($G64,'Tutorial How-To'!$E$37,"temperature",0)</f>
        <v>Dear [Your Name],
I hope this email finds you well. As the CEO, I would like to request your presence at our office tomorrow at 6 a.m. I understand this may be an early start, but I believe it is necessary for the success of our company.
Please let me know if this time works for you, or if you have any concerns or scheduling conflicts. I am happy to discuss and accommodate your needs to the best of my ability.
Thank you for your time and dedication to our organization.
Best regards,
[Your Name]
CEO</v>
      </c>
      <c r="J64" s="105"/>
      <c r="K64" s="107"/>
    </row>
    <row r="65" ht="47.25" customHeight="1">
      <c r="A65" s="105"/>
      <c r="B65" s="194"/>
      <c r="C65" s="177"/>
      <c r="D65" s="113"/>
      <c r="E65" s="113"/>
      <c r="F65" s="113"/>
      <c r="G65" s="113"/>
      <c r="H65" s="113"/>
      <c r="I65" s="94"/>
      <c r="J65" s="105"/>
      <c r="K65" s="107"/>
    </row>
    <row r="66" ht="47.25" customHeight="1">
      <c r="A66" s="105"/>
      <c r="B66" s="194"/>
      <c r="C66" s="177"/>
      <c r="D66" s="113"/>
      <c r="E66" s="113"/>
      <c r="F66" s="113"/>
      <c r="G66" s="113"/>
      <c r="H66" s="113"/>
      <c r="I66" s="94"/>
      <c r="J66" s="105"/>
      <c r="K66" s="107"/>
    </row>
    <row r="67" ht="47.25" customHeight="1">
      <c r="A67" s="105"/>
      <c r="B67" s="194"/>
      <c r="C67" s="177"/>
      <c r="D67" s="113"/>
      <c r="E67" s="113"/>
      <c r="F67" s="113"/>
      <c r="G67" s="113"/>
      <c r="H67" s="113"/>
      <c r="I67" s="94"/>
      <c r="J67" s="105"/>
      <c r="K67" s="107"/>
    </row>
    <row r="68" ht="47.25" customHeight="1">
      <c r="A68" s="105"/>
      <c r="B68" s="194"/>
      <c r="C68" s="178"/>
      <c r="D68" s="113"/>
      <c r="E68" s="154"/>
      <c r="F68" s="113"/>
      <c r="G68" s="154"/>
      <c r="H68" s="113"/>
      <c r="I68" s="95"/>
      <c r="J68" s="105"/>
      <c r="K68" s="107"/>
    </row>
    <row r="69" ht="8.25" customHeight="1">
      <c r="A69" s="105"/>
      <c r="B69" s="135"/>
      <c r="C69" s="107"/>
      <c r="D69" s="186"/>
      <c r="E69" s="107"/>
      <c r="F69" s="186"/>
      <c r="G69" s="107"/>
      <c r="H69" s="186"/>
      <c r="I69" s="142"/>
      <c r="J69" s="105"/>
      <c r="K69" s="107"/>
    </row>
    <row r="70">
      <c r="A70" s="105"/>
      <c r="B70" s="107"/>
      <c r="C70" s="190" t="s">
        <v>361</v>
      </c>
      <c r="D70" s="186"/>
      <c r="E70" s="191" t="s">
        <v>370</v>
      </c>
      <c r="F70" s="186"/>
      <c r="G70" s="192" t="s">
        <v>363</v>
      </c>
      <c r="H70" s="186"/>
      <c r="I70" s="193" t="s">
        <v>264</v>
      </c>
      <c r="J70" s="105"/>
      <c r="K70" s="107"/>
    </row>
    <row r="71" ht="50.25" customHeight="1">
      <c r="A71" s="105"/>
      <c r="B71" s="194"/>
      <c r="C71" s="201" t="s">
        <v>375</v>
      </c>
      <c r="D71" s="196" t="s">
        <v>365</v>
      </c>
      <c r="E71" s="202" t="s">
        <v>376</v>
      </c>
      <c r="F71" s="198" t="s">
        <v>367</v>
      </c>
      <c r="G71" s="204" t="str">
        <f>substitute(C71,"{{EMAIL}}",E71)</f>
        <v>User: Yo Claude. &lt;email&gt;Show up at 6am because I'm the CEO and I say so.&lt;/email&gt; &lt;----- Make this email more polite but don't change anything else about it.</v>
      </c>
      <c r="H71" s="199" t="s">
        <v>266</v>
      </c>
      <c r="I71" s="159" t="str">
        <f>claudeMessages($G71,'Tutorial How-To'!$E$37,"temperature",0)</f>
        <v>Here's a more polite version of the email:
Dear [Your Name],
I hope this email finds you well. As the CEO, I would like to request your presence at our office at 6 am. I understand this may be an early start, but I believe it is necessary for the success of our company.
Please let me know if you have any questions or concerns. I appreciate your dedication and look forward to working with you.
Best regards,
[CEO's Name]</v>
      </c>
      <c r="J71" s="105"/>
      <c r="K71" s="107"/>
    </row>
    <row r="72" ht="50.25" customHeight="1">
      <c r="A72" s="105"/>
      <c r="B72" s="194"/>
      <c r="C72" s="177"/>
      <c r="D72" s="113"/>
      <c r="E72" s="113"/>
      <c r="F72" s="113"/>
      <c r="G72" s="113"/>
      <c r="H72" s="113"/>
      <c r="I72" s="94"/>
      <c r="J72" s="105"/>
      <c r="K72" s="107"/>
    </row>
    <row r="73" ht="50.25" customHeight="1">
      <c r="A73" s="105"/>
      <c r="B73" s="194"/>
      <c r="C73" s="177"/>
      <c r="D73" s="113"/>
      <c r="E73" s="113"/>
      <c r="F73" s="113"/>
      <c r="G73" s="113"/>
      <c r="H73" s="113"/>
      <c r="I73" s="94"/>
      <c r="J73" s="105"/>
      <c r="K73" s="107"/>
    </row>
    <row r="74" ht="50.25" customHeight="1">
      <c r="A74" s="105"/>
      <c r="B74" s="194"/>
      <c r="C74" s="178"/>
      <c r="D74" s="113"/>
      <c r="E74" s="154"/>
      <c r="F74" s="113"/>
      <c r="G74" s="154"/>
      <c r="H74" s="113"/>
      <c r="I74" s="95"/>
      <c r="J74" s="105"/>
      <c r="K74" s="107"/>
    </row>
    <row r="75" ht="8.25" customHeight="1">
      <c r="A75" s="144"/>
      <c r="B75" s="135"/>
      <c r="C75" s="107"/>
      <c r="D75" s="186"/>
      <c r="E75" s="107"/>
      <c r="F75" s="186"/>
      <c r="G75" s="107"/>
      <c r="H75" s="186"/>
      <c r="I75" s="142"/>
      <c r="J75" s="105"/>
      <c r="K75" s="107"/>
    </row>
    <row r="76">
      <c r="A76" s="105"/>
      <c r="B76" s="107"/>
      <c r="C76" s="190" t="s">
        <v>361</v>
      </c>
      <c r="D76" s="186"/>
      <c r="E76" s="191" t="s">
        <v>378</v>
      </c>
      <c r="F76" s="186"/>
      <c r="G76" s="192" t="s">
        <v>363</v>
      </c>
      <c r="H76" s="186"/>
      <c r="I76" s="193" t="s">
        <v>264</v>
      </c>
      <c r="J76" s="105"/>
      <c r="K76" s="107"/>
    </row>
    <row r="77" ht="104.25" customHeight="1">
      <c r="A77" s="105"/>
      <c r="B77" s="194"/>
      <c r="C77" s="201" t="s">
        <v>379</v>
      </c>
      <c r="D77" s="196" t="s">
        <v>365</v>
      </c>
      <c r="E77" s="202" t="s">
        <v>380</v>
      </c>
      <c r="F77" s="198" t="s">
        <v>367</v>
      </c>
      <c r="G77" s="152" t="str">
        <f>substitute(C77,"{{SENTENCES}}",E77)</f>
        <v>User: Below is a list of sentences. Tell me the second item on the list.
- Each is about an animal, like rabbits.
- I like how cows sound
- This sentence is about spiders
- This sentence may appear to be about dogs but it's actually about pigs</v>
      </c>
      <c r="H77" s="199" t="s">
        <v>266</v>
      </c>
      <c r="I77" s="169" t="str">
        <f>claudeMessages($G77,'Tutorial How-To'!$E$37,"temperature",0)</f>
        <v>The second item on the list is "I like how cows sound".</v>
      </c>
      <c r="J77" s="105"/>
      <c r="K77" s="107"/>
    </row>
    <row r="78" ht="62.25" customHeight="1">
      <c r="A78" s="105"/>
      <c r="B78" s="194"/>
      <c r="C78" s="178"/>
      <c r="D78" s="113"/>
      <c r="E78" s="154"/>
      <c r="F78" s="113"/>
      <c r="G78" s="154"/>
      <c r="H78" s="113"/>
      <c r="I78" s="154"/>
      <c r="J78" s="105"/>
      <c r="K78" s="107"/>
    </row>
    <row r="79" ht="8.25" customHeight="1">
      <c r="A79" s="144"/>
      <c r="B79" s="135"/>
      <c r="C79" s="107"/>
      <c r="D79" s="186"/>
      <c r="E79" s="107"/>
      <c r="F79" s="186"/>
      <c r="G79" s="107"/>
      <c r="H79" s="186"/>
      <c r="I79" s="142"/>
      <c r="J79" s="105"/>
      <c r="K79" s="107"/>
    </row>
    <row r="80">
      <c r="A80" s="105"/>
      <c r="B80" s="107"/>
      <c r="C80" s="190" t="s">
        <v>361</v>
      </c>
      <c r="D80" s="186"/>
      <c r="E80" s="191" t="s">
        <v>378</v>
      </c>
      <c r="F80" s="186"/>
      <c r="G80" s="192" t="s">
        <v>363</v>
      </c>
      <c r="H80" s="186"/>
      <c r="I80" s="193" t="s">
        <v>264</v>
      </c>
      <c r="J80" s="105"/>
      <c r="K80" s="107"/>
    </row>
    <row r="81" ht="66.75" customHeight="1">
      <c r="A81" s="105"/>
      <c r="B81" s="194"/>
      <c r="C81" s="201" t="s">
        <v>382</v>
      </c>
      <c r="D81" s="196" t="s">
        <v>365</v>
      </c>
      <c r="E81" s="202" t="s">
        <v>380</v>
      </c>
      <c r="F81" s="198" t="s">
        <v>367</v>
      </c>
      <c r="G81" s="204" t="str">
        <f>substitute(C81,"{{SENTENCES}}",E81)</f>
        <v>User: Below is a list of sentences. Tell me the second item on the list.
- Each is about an animal, like rabbits.
&lt;sentences&gt;
- I like how cows sound
- This sentence is about spiders
- This sentence may appear to be about dogs but it's actually about pigs
&lt;/sentences&gt;</v>
      </c>
      <c r="H81" s="199" t="s">
        <v>266</v>
      </c>
      <c r="I81" s="159" t="str">
        <f>claudeMessages($G81,'Tutorial How-To'!$E$37,"temperature",0)</f>
        <v>The second item on the list is "This sentence is about spiders".</v>
      </c>
      <c r="J81" s="105"/>
      <c r="K81" s="107"/>
    </row>
    <row r="82" ht="66.75" customHeight="1">
      <c r="A82" s="105"/>
      <c r="B82" s="194"/>
      <c r="C82" s="177"/>
      <c r="D82" s="113"/>
      <c r="E82" s="113"/>
      <c r="F82" s="113"/>
      <c r="G82" s="113"/>
      <c r="H82" s="113"/>
      <c r="I82" s="94"/>
      <c r="J82" s="105"/>
      <c r="K82" s="107"/>
    </row>
    <row r="83" ht="66.75" customHeight="1">
      <c r="A83" s="105"/>
      <c r="B83" s="194"/>
      <c r="C83" s="178"/>
      <c r="D83" s="113"/>
      <c r="E83" s="154"/>
      <c r="F83" s="113"/>
      <c r="G83" s="154"/>
      <c r="H83" s="113"/>
      <c r="I83" s="95"/>
      <c r="J83" s="105"/>
      <c r="K83" s="107"/>
    </row>
    <row r="84" ht="15.75" customHeight="1">
      <c r="A84" s="105"/>
      <c r="B84" s="138"/>
      <c r="C84" s="207"/>
      <c r="D84" s="208"/>
      <c r="E84" s="207"/>
      <c r="F84" s="188"/>
      <c r="G84" s="207"/>
      <c r="H84" s="188"/>
      <c r="I84" s="207"/>
      <c r="J84" s="172"/>
      <c r="K84" s="107"/>
    </row>
    <row r="85">
      <c r="A85" s="107"/>
      <c r="B85" s="107"/>
      <c r="C85" s="107"/>
      <c r="D85" s="186"/>
      <c r="E85" s="107"/>
      <c r="F85" s="186"/>
      <c r="G85" s="107"/>
      <c r="H85" s="186"/>
      <c r="I85" s="142"/>
      <c r="J85" s="107"/>
      <c r="K85" s="107"/>
    </row>
    <row r="86">
      <c r="A86" s="107"/>
      <c r="B86" s="209" t="s">
        <v>387</v>
      </c>
      <c r="F86" s="107"/>
      <c r="G86" s="107"/>
      <c r="H86" s="186"/>
      <c r="I86" s="163" t="s">
        <v>385</v>
      </c>
      <c r="K86" s="107"/>
    </row>
    <row r="87">
      <c r="A87" s="107"/>
      <c r="B87" s="107"/>
      <c r="C87" s="107"/>
      <c r="D87" s="107"/>
      <c r="E87" s="107"/>
      <c r="F87" s="107"/>
      <c r="G87" s="107"/>
      <c r="H87" s="186"/>
      <c r="I87" s="142"/>
      <c r="J87" s="107"/>
      <c r="K87" s="107"/>
    </row>
    <row r="88">
      <c r="A88" s="107"/>
      <c r="B88" s="210" t="s">
        <v>253</v>
      </c>
      <c r="K88" s="107"/>
    </row>
    <row r="89">
      <c r="A89" s="107"/>
      <c r="B89" s="210" t="s">
        <v>286</v>
      </c>
      <c r="K89" s="107"/>
    </row>
    <row r="90">
      <c r="A90" s="107"/>
      <c r="B90" s="107"/>
      <c r="C90" s="107"/>
      <c r="D90" s="186"/>
      <c r="E90" s="107"/>
      <c r="F90" s="186"/>
      <c r="G90" s="107"/>
      <c r="H90" s="186"/>
      <c r="I90" s="142"/>
      <c r="J90" s="107"/>
      <c r="K90" s="107"/>
    </row>
    <row r="91">
      <c r="A91" s="107"/>
      <c r="B91" s="107"/>
      <c r="C91" s="107"/>
      <c r="D91" s="186"/>
      <c r="E91" s="107"/>
      <c r="F91" s="186"/>
      <c r="G91" s="107"/>
      <c r="H91" s="186"/>
      <c r="I91" s="142"/>
      <c r="J91" s="107"/>
      <c r="K91" s="107"/>
    </row>
    <row r="92">
      <c r="A92" s="107"/>
      <c r="B92" s="107"/>
      <c r="C92" s="107"/>
      <c r="D92" s="186"/>
      <c r="E92" s="107"/>
      <c r="F92" s="186"/>
      <c r="G92" s="107"/>
      <c r="H92" s="186"/>
      <c r="I92" s="142"/>
      <c r="J92" s="107"/>
      <c r="K92" s="107"/>
    </row>
    <row r="93">
      <c r="A93" s="107"/>
      <c r="B93" s="107"/>
      <c r="C93" s="107"/>
      <c r="D93" s="186"/>
      <c r="E93" s="107"/>
      <c r="F93" s="186"/>
      <c r="G93" s="107"/>
      <c r="H93" s="186"/>
      <c r="I93" s="142"/>
      <c r="J93" s="107"/>
      <c r="K93" s="107"/>
    </row>
  </sheetData>
  <mergeCells count="80">
    <mergeCell ref="I33:I36"/>
    <mergeCell ref="B38:J38"/>
    <mergeCell ref="D41:D42"/>
    <mergeCell ref="E41:E42"/>
    <mergeCell ref="F41:F42"/>
    <mergeCell ref="G41:G42"/>
    <mergeCell ref="B44:J44"/>
    <mergeCell ref="C41:C42"/>
    <mergeCell ref="C47:C49"/>
    <mergeCell ref="D47:D49"/>
    <mergeCell ref="E47:E49"/>
    <mergeCell ref="F47:F49"/>
    <mergeCell ref="G47:G49"/>
    <mergeCell ref="H47:H49"/>
    <mergeCell ref="C64:C68"/>
    <mergeCell ref="D64:D68"/>
    <mergeCell ref="E64:E68"/>
    <mergeCell ref="F64:F68"/>
    <mergeCell ref="G64:G68"/>
    <mergeCell ref="H64:H68"/>
    <mergeCell ref="I64:I68"/>
    <mergeCell ref="C71:C74"/>
    <mergeCell ref="D71:D74"/>
    <mergeCell ref="E71:E74"/>
    <mergeCell ref="F71:F74"/>
    <mergeCell ref="G71:G74"/>
    <mergeCell ref="H71:H74"/>
    <mergeCell ref="I71:I74"/>
    <mergeCell ref="C77:C78"/>
    <mergeCell ref="D77:D78"/>
    <mergeCell ref="E77:E78"/>
    <mergeCell ref="F77:F78"/>
    <mergeCell ref="G77:G78"/>
    <mergeCell ref="H77:H78"/>
    <mergeCell ref="I77:I78"/>
    <mergeCell ref="B86:E86"/>
    <mergeCell ref="I86:J86"/>
    <mergeCell ref="B88:J88"/>
    <mergeCell ref="B89:J89"/>
    <mergeCell ref="C81:C83"/>
    <mergeCell ref="D81:D83"/>
    <mergeCell ref="E81:E83"/>
    <mergeCell ref="F81:F83"/>
    <mergeCell ref="G81:G83"/>
    <mergeCell ref="H81:H83"/>
    <mergeCell ref="I81:I83"/>
    <mergeCell ref="B1:G1"/>
    <mergeCell ref="B3:C3"/>
    <mergeCell ref="B8:E8"/>
    <mergeCell ref="I8:J8"/>
    <mergeCell ref="B9:J9"/>
    <mergeCell ref="B11:E11"/>
    <mergeCell ref="I11:J11"/>
    <mergeCell ref="G22:G26"/>
    <mergeCell ref="H22:H26"/>
    <mergeCell ref="B12:J12"/>
    <mergeCell ref="B17:J17"/>
    <mergeCell ref="B19:J19"/>
    <mergeCell ref="C22:C26"/>
    <mergeCell ref="D22:D26"/>
    <mergeCell ref="E22:E26"/>
    <mergeCell ref="F22:F26"/>
    <mergeCell ref="G33:G36"/>
    <mergeCell ref="H33:H36"/>
    <mergeCell ref="I22:I26"/>
    <mergeCell ref="B28:J28"/>
    <mergeCell ref="B30:J30"/>
    <mergeCell ref="C33:C36"/>
    <mergeCell ref="D33:D36"/>
    <mergeCell ref="E33:E36"/>
    <mergeCell ref="F33:F36"/>
    <mergeCell ref="H41:H42"/>
    <mergeCell ref="I41:I42"/>
    <mergeCell ref="I47:I49"/>
    <mergeCell ref="B51:J51"/>
    <mergeCell ref="B53:J53"/>
    <mergeCell ref="I55:J55"/>
    <mergeCell ref="B57:E57"/>
    <mergeCell ref="I57:J57"/>
    <mergeCell ref="B58:J58"/>
  </mergeCells>
  <hyperlinks>
    <hyperlink display="Lesson" location="C4Lesson" ref="C4"/>
    <hyperlink display="Examples" location="C4Examples" ref="C5"/>
    <hyperlink display="Example Playground" location="C4ExamplePlayground" ref="C6"/>
    <hyperlink display="Back to top ↑" location="C4LessonTitle" ref="I8"/>
    <hyperlink display="Back to top ↑" location="C4LessonTitle" ref="I11"/>
    <hyperlink r:id="rId1" ref="B30"/>
    <hyperlink display="Chapter 4 Exercises: Separating Data from Instructions →" location="C4ExerciseTitle" ref="I55"/>
    <hyperlink display="Back to top ↑" location="C4LessonTitle" ref="I57"/>
    <hyperlink display="← Chapter 3 Exercises: Assigning Roles" location="C3ExerciseTitle" ref="B86"/>
    <hyperlink display="Chapter 4 Exercises: Separating Data from Instructions →" location="C4ExerciseTitle" ref="I86"/>
    <hyperlink display="Back to top ↑" location="C4LessonTitle" ref="B88"/>
    <hyperlink display="Table of Contents" location="IntroTitle" ref="B89"/>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showGridLines="0" workbookViewId="0"/>
  </sheetViews>
  <sheetFormatPr customHeight="1" defaultColWidth="12.63" defaultRowHeight="15.75" outlineLevelRow="1"/>
  <cols>
    <col customWidth="1" min="1" max="1" width="5.5"/>
    <col customWidth="1" min="2" max="2" width="3.0"/>
    <col customWidth="1" min="3" max="3" width="28.25"/>
    <col customWidth="1" min="4" max="4" width="4.0"/>
    <col customWidth="1" min="5" max="5" width="18.5"/>
    <col customWidth="1" min="6" max="6" width="4.0"/>
    <col customWidth="1" min="7" max="7" width="33.63"/>
    <col customWidth="1" min="8" max="8" width="4.0"/>
    <col customWidth="1" min="9" max="9" width="52.25"/>
    <col customWidth="1" min="10" max="10" width="3.0"/>
    <col customWidth="1" min="11" max="11" width="5.5"/>
  </cols>
  <sheetData>
    <row r="1" ht="32.25" customHeight="1">
      <c r="A1" s="1"/>
      <c r="B1" s="2" t="s">
        <v>388</v>
      </c>
      <c r="I1" s="211"/>
      <c r="J1" s="3"/>
      <c r="K1" s="3"/>
    </row>
    <row r="2" ht="21.75" customHeight="1">
      <c r="D2" s="34"/>
      <c r="F2" s="34"/>
      <c r="G2" s="96"/>
      <c r="H2" s="34"/>
      <c r="I2" s="70"/>
    </row>
    <row r="3" ht="21.75" customHeight="1">
      <c r="A3" s="23"/>
      <c r="B3" s="68" t="s">
        <v>249</v>
      </c>
      <c r="D3" s="34"/>
      <c r="F3" s="34"/>
      <c r="G3" s="23"/>
      <c r="H3" s="212"/>
    </row>
    <row r="4" ht="15.75" customHeight="1">
      <c r="A4" s="23"/>
      <c r="C4" s="69" t="s">
        <v>389</v>
      </c>
      <c r="D4" s="34"/>
      <c r="F4" s="34"/>
      <c r="G4" s="23"/>
      <c r="H4" s="34"/>
      <c r="I4" s="213"/>
    </row>
    <row r="5" ht="15.75" customHeight="1">
      <c r="A5" s="23"/>
      <c r="C5" s="69" t="s">
        <v>390</v>
      </c>
      <c r="D5" s="34"/>
      <c r="F5" s="34"/>
      <c r="G5" s="23"/>
      <c r="H5" s="34"/>
      <c r="I5" s="213"/>
    </row>
    <row r="6" ht="15.75" customHeight="1">
      <c r="A6" s="23" t="s">
        <v>251</v>
      </c>
      <c r="C6" s="69" t="s">
        <v>391</v>
      </c>
      <c r="D6" s="34"/>
      <c r="F6" s="34"/>
      <c r="G6" s="23" t="s">
        <v>251</v>
      </c>
      <c r="H6" s="34"/>
      <c r="I6" s="213"/>
    </row>
    <row r="7" ht="33.75" customHeight="1">
      <c r="D7" s="34"/>
      <c r="F7" s="34"/>
      <c r="H7" s="34"/>
    </row>
    <row r="8" ht="29.25" customHeight="1">
      <c r="B8" s="71" t="s">
        <v>389</v>
      </c>
      <c r="C8" s="72"/>
      <c r="D8" s="72"/>
      <c r="E8" s="72"/>
      <c r="F8" s="214"/>
      <c r="G8" s="215"/>
      <c r="H8" s="214"/>
      <c r="I8" s="73" t="s">
        <v>253</v>
      </c>
      <c r="J8" s="74"/>
    </row>
    <row r="9">
      <c r="B9" s="88" t="s">
        <v>392</v>
      </c>
      <c r="J9" s="12"/>
    </row>
    <row r="10" ht="8.25" customHeight="1">
      <c r="B10" s="22"/>
      <c r="D10" s="34"/>
      <c r="F10" s="34"/>
      <c r="G10" s="96"/>
      <c r="H10" s="34"/>
      <c r="I10" s="70"/>
      <c r="J10" s="24"/>
    </row>
    <row r="11">
      <c r="A11" s="216"/>
      <c r="B11" s="217"/>
      <c r="C11" s="218" t="s">
        <v>361</v>
      </c>
      <c r="D11" s="219"/>
      <c r="E11" s="218" t="s">
        <v>393</v>
      </c>
      <c r="F11" s="219"/>
      <c r="G11" s="220" t="s">
        <v>363</v>
      </c>
      <c r="H11" s="219"/>
      <c r="I11" s="221" t="s">
        <v>264</v>
      </c>
      <c r="J11" s="222"/>
      <c r="K11" s="216"/>
    </row>
    <row r="12" ht="90.0" customHeight="1">
      <c r="B12" s="25"/>
      <c r="C12" s="223" t="s">
        <v>394</v>
      </c>
      <c r="D12" s="224" t="s">
        <v>365</v>
      </c>
      <c r="E12" s="225" t="s">
        <v>395</v>
      </c>
      <c r="F12" s="226" t="s">
        <v>367</v>
      </c>
      <c r="G12" s="89" t="str">
        <f>substitute(C12,"{{TOPIC}}",E12)</f>
        <v>User: Write haiku about Pigs</v>
      </c>
      <c r="H12" s="90" t="s">
        <v>266</v>
      </c>
      <c r="I12" s="104" t="str">
        <f>claudeMessages(G12, 'Tutorial How-To'!E37,"temperature",0)</f>
        <v>Here are three haiku about pigs:
Snout in the mud, snort,
Curly tail, pink and plump, oink,
Pigs roam the farmyard.
Foraging for food,
Grunting, rooting, digging deep,
Pigs' happy lives thrive.
Piglets nursing, sweet,
Nuzzling mother's warm belly,
Pigs' peaceful moments.</v>
      </c>
      <c r="J12" s="24"/>
    </row>
    <row r="13" ht="15.75" customHeight="1">
      <c r="B13" s="25"/>
      <c r="C13" s="227"/>
      <c r="D13" s="90"/>
      <c r="E13" s="228"/>
      <c r="F13" s="34"/>
      <c r="G13" s="228"/>
      <c r="H13" s="34"/>
      <c r="I13" s="228"/>
      <c r="J13" s="24"/>
    </row>
    <row r="14">
      <c r="B14" s="125" t="s">
        <v>293</v>
      </c>
      <c r="C14" s="126" t="s">
        <v>294</v>
      </c>
      <c r="J14" s="12"/>
    </row>
    <row r="15" outlineLevel="1">
      <c r="B15" s="229" t="s">
        <v>396</v>
      </c>
      <c r="J15" s="12"/>
    </row>
    <row r="16" ht="33.75" customHeight="1">
      <c r="B16" s="9"/>
      <c r="C16" s="9"/>
      <c r="D16" s="214"/>
      <c r="E16" s="9"/>
      <c r="F16" s="214"/>
      <c r="G16" s="215"/>
      <c r="H16" s="214"/>
      <c r="I16" s="230"/>
      <c r="J16" s="9"/>
    </row>
    <row r="17" ht="29.25" customHeight="1">
      <c r="B17" s="71" t="s">
        <v>390</v>
      </c>
      <c r="C17" s="72"/>
      <c r="D17" s="72"/>
      <c r="E17" s="72"/>
      <c r="F17" s="214"/>
      <c r="G17" s="215"/>
      <c r="H17" s="214"/>
      <c r="I17" s="73" t="s">
        <v>253</v>
      </c>
      <c r="J17" s="74"/>
    </row>
    <row r="18">
      <c r="B18" s="88" t="s">
        <v>397</v>
      </c>
      <c r="J18" s="12"/>
    </row>
    <row r="19" ht="11.25" customHeight="1">
      <c r="B19" s="22"/>
      <c r="D19" s="34"/>
      <c r="F19" s="34"/>
      <c r="G19" s="96"/>
      <c r="H19" s="34"/>
      <c r="I19" s="70"/>
      <c r="J19" s="24"/>
    </row>
    <row r="20">
      <c r="B20" s="231" t="s">
        <v>398</v>
      </c>
      <c r="J20" s="12"/>
    </row>
    <row r="21" ht="8.25" customHeight="1">
      <c r="B21" s="22"/>
      <c r="D21" s="34"/>
      <c r="F21" s="34"/>
      <c r="G21" s="96"/>
      <c r="H21" s="34"/>
      <c r="I21" s="70"/>
      <c r="J21" s="24"/>
    </row>
    <row r="22">
      <c r="A22" s="216"/>
      <c r="B22" s="217"/>
      <c r="C22" s="218" t="s">
        <v>361</v>
      </c>
      <c r="D22" s="219"/>
      <c r="E22" s="218" t="s">
        <v>399</v>
      </c>
      <c r="F22" s="219"/>
      <c r="G22" s="220" t="s">
        <v>363</v>
      </c>
      <c r="H22" s="219"/>
      <c r="I22" s="221" t="s">
        <v>264</v>
      </c>
      <c r="J22" s="222"/>
      <c r="K22" s="216"/>
    </row>
    <row r="23" ht="102.0" customHeight="1">
      <c r="B23" s="25"/>
      <c r="C23" s="223" t="s">
        <v>400</v>
      </c>
      <c r="D23" s="224" t="s">
        <v>365</v>
      </c>
      <c r="E23" s="225" t="s">
        <v>401</v>
      </c>
      <c r="F23" s="226" t="s">
        <v>367</v>
      </c>
      <c r="G23" s="89" t="str">
        <f>substitute(C23,"{{QUESTION}}",E23)</f>
        <v>User: &lt;t&gt; Hia its me i have a q about dogs jkaerjv &lt;question&gt;ar cn brown?&lt;/question&gt; jklmvca tx it help me muhch much atx fst fst answer short short tx &lt;/t&gt;
</v>
      </c>
      <c r="H23" s="90" t="s">
        <v>266</v>
      </c>
      <c r="I23" s="104" t="str">
        <f>claudeMessages(G23, 'Tutorial How-To'!E37,"temperature",0)</f>
        <v>&lt;response&gt;Yes, dogs can be brown. Brown is a common coat color in many dog breeds.&lt;/response&gt;</v>
      </c>
      <c r="J23" s="24"/>
    </row>
    <row r="24" ht="15.75" customHeight="1">
      <c r="B24" s="25"/>
      <c r="C24" s="227"/>
      <c r="D24" s="90"/>
      <c r="E24" s="228"/>
      <c r="F24" s="34"/>
      <c r="G24" s="228"/>
      <c r="H24" s="34"/>
      <c r="I24" s="228"/>
      <c r="J24" s="24"/>
    </row>
    <row r="25">
      <c r="B25" s="125" t="s">
        <v>293</v>
      </c>
      <c r="C25" s="126" t="s">
        <v>294</v>
      </c>
      <c r="J25" s="12"/>
    </row>
    <row r="26" outlineLevel="1">
      <c r="B26" s="229" t="s">
        <v>402</v>
      </c>
      <c r="J26" s="12"/>
    </row>
    <row r="27" ht="33.75" customHeight="1">
      <c r="B27" s="9"/>
      <c r="C27" s="9"/>
      <c r="D27" s="214"/>
      <c r="E27" s="9"/>
      <c r="F27" s="214"/>
      <c r="G27" s="215"/>
      <c r="H27" s="214"/>
      <c r="I27" s="230"/>
      <c r="J27" s="9"/>
    </row>
    <row r="28" ht="29.25" customHeight="1">
      <c r="B28" s="71" t="s">
        <v>391</v>
      </c>
      <c r="C28" s="72"/>
      <c r="D28" s="72"/>
      <c r="E28" s="72"/>
      <c r="F28" s="214"/>
      <c r="G28" s="215"/>
      <c r="H28" s="214"/>
      <c r="I28" s="73" t="s">
        <v>253</v>
      </c>
      <c r="J28" s="74"/>
    </row>
    <row r="29">
      <c r="B29" s="88" t="s">
        <v>403</v>
      </c>
      <c r="J29" s="12"/>
    </row>
    <row r="30" ht="8.25" customHeight="1">
      <c r="B30" s="22"/>
      <c r="D30" s="34"/>
      <c r="F30" s="34"/>
      <c r="G30" s="96"/>
      <c r="H30" s="34"/>
      <c r="I30" s="70"/>
      <c r="J30" s="24"/>
    </row>
    <row r="31">
      <c r="A31" s="216"/>
      <c r="B31" s="217"/>
      <c r="C31" s="218" t="s">
        <v>361</v>
      </c>
      <c r="D31" s="219"/>
      <c r="E31" s="218" t="s">
        <v>399</v>
      </c>
      <c r="F31" s="219"/>
      <c r="G31" s="220" t="s">
        <v>363</v>
      </c>
      <c r="H31" s="219"/>
      <c r="I31" s="221" t="s">
        <v>264</v>
      </c>
      <c r="J31" s="222"/>
      <c r="K31" s="216"/>
    </row>
    <row r="32" ht="101.25" customHeight="1">
      <c r="B32" s="25"/>
      <c r="C32" s="223" t="s">
        <v>404</v>
      </c>
      <c r="D32" s="224" t="s">
        <v>365</v>
      </c>
      <c r="E32" s="225" t="s">
        <v>401</v>
      </c>
      <c r="F32" s="226" t="s">
        <v>367</v>
      </c>
      <c r="G32" s="89" t="str">
        <f>substitute(C32,"{{QUESTION}}",E32)</f>
        <v>User: &lt;a&gt; Hia its me i have a q about dogs jkaerjv &lt;q&gt; ar cn brown? &lt;/q&gt; jklmvca tx it help me muhch much atx fst fst answer short short tx &lt;/a&gt;</v>
      </c>
      <c r="H32" s="90" t="s">
        <v>266</v>
      </c>
      <c r="I32" s="104" t="str">
        <f>claudeMessages(G32, 'Tutorial How-To'!E37,"temperature",0)</f>
        <v>I'm afraid I don't have enough context to provide a meaningful answer to your question "ar cn brown?". Could you please rephrase your question or provide more details about what you're asking? I'd be happy to try to assist you once I have a clearer understanding of your query.</v>
      </c>
      <c r="J32" s="24"/>
    </row>
    <row r="33" ht="15.75" customHeight="1">
      <c r="B33" s="25"/>
      <c r="C33" s="227"/>
      <c r="D33" s="90"/>
      <c r="E33" s="228"/>
      <c r="F33" s="34"/>
      <c r="G33" s="228"/>
      <c r="H33" s="34"/>
      <c r="I33" s="228"/>
      <c r="J33" s="24"/>
    </row>
    <row r="34" collapsed="1">
      <c r="B34" s="125" t="s">
        <v>293</v>
      </c>
      <c r="C34" s="126" t="s">
        <v>294</v>
      </c>
      <c r="J34" s="12"/>
    </row>
    <row r="35" hidden="1" outlineLevel="1">
      <c r="B35" s="229" t="s">
        <v>405</v>
      </c>
      <c r="J35" s="12"/>
    </row>
    <row r="36">
      <c r="B36" s="9"/>
      <c r="C36" s="9"/>
      <c r="D36" s="214"/>
      <c r="E36" s="9"/>
      <c r="F36" s="214"/>
      <c r="G36" s="215"/>
      <c r="H36" s="214"/>
      <c r="I36" s="230"/>
      <c r="J36" s="9"/>
    </row>
    <row r="37">
      <c r="B37" s="119" t="s">
        <v>406</v>
      </c>
      <c r="G37" s="96"/>
      <c r="H37" s="34"/>
      <c r="I37" s="42" t="s">
        <v>407</v>
      </c>
    </row>
    <row r="38">
      <c r="G38" s="96"/>
      <c r="H38" s="34"/>
      <c r="I38" s="70"/>
    </row>
    <row r="39">
      <c r="B39" s="121" t="s">
        <v>253</v>
      </c>
    </row>
    <row r="40">
      <c r="B40" s="121" t="s">
        <v>286</v>
      </c>
    </row>
    <row r="41">
      <c r="D41" s="34"/>
      <c r="F41" s="34"/>
      <c r="G41" s="96"/>
      <c r="H41" s="34"/>
      <c r="I41" s="70"/>
    </row>
    <row r="42">
      <c r="D42" s="34"/>
      <c r="F42" s="34"/>
      <c r="G42" s="96"/>
      <c r="H42" s="34"/>
      <c r="I42" s="70"/>
    </row>
    <row r="43">
      <c r="D43" s="34"/>
      <c r="F43" s="34"/>
      <c r="G43" s="96"/>
      <c r="H43" s="34"/>
      <c r="I43" s="70"/>
    </row>
    <row r="44">
      <c r="D44" s="34"/>
      <c r="F44" s="34"/>
      <c r="G44" s="96"/>
      <c r="H44" s="34"/>
      <c r="I44" s="70"/>
    </row>
  </sheetData>
  <mergeCells count="22">
    <mergeCell ref="B1:H1"/>
    <mergeCell ref="B3:C3"/>
    <mergeCell ref="B8:E8"/>
    <mergeCell ref="I8:J8"/>
    <mergeCell ref="B9:J9"/>
    <mergeCell ref="C14:J14"/>
    <mergeCell ref="B15:J15"/>
    <mergeCell ref="B28:E28"/>
    <mergeCell ref="B29:J29"/>
    <mergeCell ref="C34:J34"/>
    <mergeCell ref="B35:J35"/>
    <mergeCell ref="B37:E37"/>
    <mergeCell ref="I37:J37"/>
    <mergeCell ref="B39:J39"/>
    <mergeCell ref="B40:J40"/>
    <mergeCell ref="B17:E17"/>
    <mergeCell ref="I17:J17"/>
    <mergeCell ref="B18:J18"/>
    <mergeCell ref="B20:J20"/>
    <mergeCell ref="C25:J25"/>
    <mergeCell ref="B26:J26"/>
    <mergeCell ref="I28:J28"/>
  </mergeCells>
  <conditionalFormatting sqref="I23">
    <cfRule type="containsText" dxfId="0" priority="1" operator="containsText" text="brown">
      <formula>NOT(ISERROR(SEARCH(("brown"),(I23))))</formula>
    </cfRule>
  </conditionalFormatting>
  <conditionalFormatting sqref="I12">
    <cfRule type="expression" dxfId="0" priority="2">
      <formula>AND(ISNUMBER(SEARCH("pigs",I12)),ISNUMBER(SEARCH("haiku",I12)))</formula>
    </cfRule>
  </conditionalFormatting>
  <conditionalFormatting sqref="I32">
    <cfRule type="containsText" dxfId="0" priority="3" operator="containsText" text="brown">
      <formula>NOT(ISERROR(SEARCH(("brown"),(I32))))</formula>
    </cfRule>
  </conditionalFormatting>
  <hyperlinks>
    <hyperlink display="Exercise 4.1 - Haiku Topic" location="C4Exercise1" ref="C4"/>
    <hyperlink display="Exercise 4.2 - Dog Question with Typos" location="C4Exercise2" ref="C5"/>
    <hyperlink display="Exercise 4.3 - Dog Question Part 2" location="C4Exercise3" ref="C6"/>
    <hyperlink display="Back to top ↑" location="C4ExerciseTitle" ref="I8"/>
    <hyperlink display="Back to top ↑" location="C4ExerciseTitle" ref="I17"/>
    <hyperlink display="Back to top ↑" location="C4ExerciseTitle" ref="I28"/>
    <hyperlink display="← Chapter 4: Separating Data from Instructions" location="C4LessonTitle" ref="B37"/>
    <hyperlink display="Chapter 5: Formatting Output &amp; Speaking for Claude →" location="C5LessonTitle" ref="I37"/>
    <hyperlink display="Back to top ↑" location="C4ExerciseTitle" ref="B39"/>
    <hyperlink display="Table of Contents" location="IntroTitle" ref="B40"/>
  </hyperlink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showGridLines="0" workbookViewId="0"/>
  </sheetViews>
  <sheetFormatPr customHeight="1" defaultColWidth="12.63" defaultRowHeight="15.75" outlineLevelRow="1"/>
  <cols>
    <col customWidth="1" min="1" max="1" width="5.5"/>
    <col customWidth="1" min="2" max="2" width="3.0"/>
    <col customWidth="1" min="3" max="3" width="28.25"/>
    <col customWidth="1" min="4" max="4" width="4.0"/>
    <col customWidth="1" min="5" max="5" width="19.75"/>
    <col customWidth="1" min="6" max="6" width="4.0"/>
    <col customWidth="1" min="7" max="7" width="33.63"/>
    <col customWidth="1" min="8" max="8" width="4.0"/>
    <col customWidth="1" min="9" max="9" width="52.25"/>
    <col customWidth="1" min="10" max="10" width="3.0"/>
    <col customWidth="1" min="11" max="11" width="5.5"/>
  </cols>
  <sheetData>
    <row r="1" ht="32.25" customHeight="1">
      <c r="A1" s="1"/>
      <c r="B1" s="2" t="s">
        <v>232</v>
      </c>
      <c r="H1" s="232"/>
      <c r="I1" s="211"/>
      <c r="J1" s="3"/>
      <c r="K1" s="3"/>
    </row>
    <row r="2" ht="21.75" customHeight="1">
      <c r="D2" s="34"/>
      <c r="F2" s="34"/>
      <c r="G2" s="96"/>
      <c r="H2" s="34"/>
      <c r="I2" s="70"/>
    </row>
    <row r="3" ht="21.75" customHeight="1">
      <c r="A3" s="23"/>
      <c r="B3" s="68" t="s">
        <v>249</v>
      </c>
      <c r="D3" s="34"/>
      <c r="F3" s="34"/>
      <c r="G3" s="23"/>
      <c r="H3" s="212"/>
    </row>
    <row r="4" ht="15.75" customHeight="1">
      <c r="A4" s="23"/>
      <c r="C4" s="69" t="s">
        <v>226</v>
      </c>
      <c r="D4" s="34"/>
      <c r="F4" s="34"/>
      <c r="G4" s="23"/>
      <c r="H4" s="34"/>
      <c r="I4" s="213"/>
    </row>
    <row r="5" ht="15.75" customHeight="1">
      <c r="A5" s="23"/>
      <c r="C5" s="69" t="s">
        <v>250</v>
      </c>
      <c r="D5" s="34"/>
      <c r="F5" s="34"/>
      <c r="G5" s="23"/>
      <c r="H5" s="34"/>
      <c r="I5" s="213"/>
    </row>
    <row r="6" ht="15.75" customHeight="1">
      <c r="A6" s="23" t="s">
        <v>251</v>
      </c>
      <c r="C6" s="69" t="s">
        <v>252</v>
      </c>
      <c r="D6" s="34"/>
      <c r="F6" s="34"/>
      <c r="G6" s="23" t="s">
        <v>251</v>
      </c>
      <c r="H6" s="34"/>
      <c r="I6" s="213"/>
    </row>
    <row r="7" ht="33.75" customHeight="1">
      <c r="D7" s="34"/>
      <c r="F7" s="34"/>
      <c r="H7" s="34"/>
    </row>
    <row r="8" ht="29.25" customHeight="1">
      <c r="A8" s="70"/>
      <c r="B8" s="71" t="s">
        <v>226</v>
      </c>
      <c r="C8" s="72"/>
      <c r="D8" s="72"/>
      <c r="E8" s="72"/>
      <c r="F8" s="214"/>
      <c r="G8" s="233"/>
      <c r="H8" s="214"/>
      <c r="I8" s="73" t="s">
        <v>253</v>
      </c>
      <c r="J8" s="74"/>
      <c r="K8" s="70"/>
    </row>
    <row r="9">
      <c r="B9" s="234" t="s">
        <v>408</v>
      </c>
      <c r="C9" s="48"/>
      <c r="D9" s="48"/>
      <c r="E9" s="48"/>
      <c r="F9" s="48"/>
      <c r="G9" s="48"/>
      <c r="H9" s="48"/>
      <c r="I9" s="48"/>
      <c r="J9" s="49"/>
    </row>
    <row r="10" ht="33.75" customHeight="1">
      <c r="D10" s="34"/>
      <c r="F10" s="34"/>
      <c r="G10" s="96"/>
      <c r="H10" s="34"/>
      <c r="I10" s="70"/>
    </row>
    <row r="11" ht="29.25" customHeight="1">
      <c r="B11" s="71" t="s">
        <v>250</v>
      </c>
      <c r="C11" s="72"/>
      <c r="D11" s="72"/>
      <c r="E11" s="72"/>
      <c r="F11" s="214"/>
      <c r="G11" s="215"/>
      <c r="H11" s="214"/>
      <c r="I11" s="73" t="s">
        <v>253</v>
      </c>
      <c r="J11" s="74"/>
    </row>
    <row r="12">
      <c r="B12" s="88" t="s">
        <v>409</v>
      </c>
      <c r="J12" s="12"/>
    </row>
    <row r="13" ht="8.25" customHeight="1">
      <c r="B13" s="22"/>
      <c r="D13" s="34"/>
      <c r="F13" s="34"/>
      <c r="G13" s="96"/>
      <c r="H13" s="34"/>
      <c r="I13" s="70"/>
      <c r="J13" s="24"/>
    </row>
    <row r="14">
      <c r="A14" s="216"/>
      <c r="B14" s="217"/>
      <c r="C14" s="218" t="s">
        <v>361</v>
      </c>
      <c r="D14" s="219"/>
      <c r="E14" s="218" t="s">
        <v>362</v>
      </c>
      <c r="F14" s="219"/>
      <c r="G14" s="220" t="s">
        <v>363</v>
      </c>
      <c r="H14" s="219"/>
      <c r="I14" s="221" t="s">
        <v>264</v>
      </c>
      <c r="J14" s="222"/>
      <c r="K14" s="216"/>
    </row>
    <row r="15" ht="79.5" customHeight="1">
      <c r="B15" s="25"/>
      <c r="C15" s="223" t="s">
        <v>410</v>
      </c>
      <c r="D15" s="224" t="s">
        <v>365</v>
      </c>
      <c r="E15" s="225" t="s">
        <v>411</v>
      </c>
      <c r="F15" s="226" t="s">
        <v>367</v>
      </c>
      <c r="G15" s="89" t="str">
        <f>substitute(C15,"{{ANIMAL}}",E15)</f>
        <v>User: Please write a haiku about Rabbit. Put it in &lt;haiku&gt; tags.</v>
      </c>
      <c r="H15" s="90" t="s">
        <v>266</v>
      </c>
      <c r="I15" s="91" t="str">
        <f>claudeMessages($G15,'Tutorial How-To'!$E$37,"temperature",0)</f>
        <v>&lt;haiku&gt;
Fluffy, twitching nose,
Hopping through the verdant grass,
Rabbit's gentle grace.
&lt;/haiku&gt;</v>
      </c>
      <c r="J15" s="24"/>
    </row>
    <row r="16" ht="15.75" customHeight="1">
      <c r="B16" s="25"/>
      <c r="C16" s="227"/>
      <c r="D16" s="90"/>
      <c r="E16" s="228"/>
      <c r="F16" s="34"/>
      <c r="G16" s="228"/>
      <c r="H16" s="34"/>
      <c r="I16" s="228"/>
      <c r="J16" s="24"/>
    </row>
    <row r="17">
      <c r="B17" s="88" t="s">
        <v>412</v>
      </c>
      <c r="J17" s="12"/>
    </row>
    <row r="18" ht="11.25" customHeight="1">
      <c r="B18" s="13"/>
      <c r="C18" s="14"/>
      <c r="D18" s="235"/>
      <c r="E18" s="14"/>
      <c r="F18" s="235"/>
      <c r="G18" s="14"/>
      <c r="H18" s="235"/>
      <c r="I18" s="14"/>
      <c r="J18" s="17"/>
    </row>
    <row r="19">
      <c r="B19" s="88" t="s">
        <v>413</v>
      </c>
      <c r="J19" s="12"/>
    </row>
    <row r="20" ht="8.25" customHeight="1">
      <c r="B20" s="25"/>
      <c r="D20" s="34"/>
      <c r="F20" s="34"/>
      <c r="G20" s="96"/>
      <c r="H20" s="34"/>
      <c r="I20" s="70"/>
      <c r="J20" s="24"/>
    </row>
    <row r="21">
      <c r="A21" s="216"/>
      <c r="B21" s="217"/>
      <c r="C21" s="218" t="s">
        <v>361</v>
      </c>
      <c r="D21" s="219"/>
      <c r="E21" s="218" t="s">
        <v>362</v>
      </c>
      <c r="F21" s="219"/>
      <c r="G21" s="220" t="s">
        <v>363</v>
      </c>
      <c r="H21" s="219"/>
      <c r="I21" s="221" t="s">
        <v>264</v>
      </c>
      <c r="J21" s="222"/>
      <c r="K21" s="216"/>
    </row>
    <row r="22" ht="78.75" customHeight="1">
      <c r="B22" s="25"/>
      <c r="C22" s="223" t="s">
        <v>414</v>
      </c>
      <c r="D22" s="224" t="s">
        <v>365</v>
      </c>
      <c r="E22" s="225" t="s">
        <v>415</v>
      </c>
      <c r="F22" s="226" t="s">
        <v>367</v>
      </c>
      <c r="G22" s="89" t="str">
        <f>substitute(C22,"{{ANIMAL}}",E22)</f>
        <v>User: Please write a haiku about Cat. Put it in &lt;haiku&gt; tags.
Assistant: &lt;haiku&gt;</v>
      </c>
      <c r="H22" s="90" t="s">
        <v>266</v>
      </c>
      <c r="I22" s="91" t="str">
        <f>claudeMessages($G22,'Tutorial How-To'!$E$37,"temperature",0)</f>
        <v>Feline grace and poise,
Purring softly by the fire,
Captivating cat.
&lt;/haiku&gt;</v>
      </c>
      <c r="J22" s="24"/>
    </row>
    <row r="23" ht="15.75" customHeight="1">
      <c r="B23" s="13"/>
      <c r="C23" s="14"/>
      <c r="D23" s="14"/>
      <c r="E23" s="14"/>
      <c r="F23" s="14"/>
      <c r="G23" s="14"/>
      <c r="H23" s="14"/>
      <c r="I23" s="14"/>
      <c r="J23" s="17"/>
    </row>
    <row r="24" ht="28.5" customHeight="1">
      <c r="B24" s="88" t="s">
        <v>416</v>
      </c>
      <c r="J24" s="12"/>
    </row>
    <row r="25" ht="15.75" customHeight="1">
      <c r="B25" s="25"/>
      <c r="D25" s="34"/>
      <c r="F25" s="34"/>
      <c r="G25" s="96"/>
      <c r="H25" s="34"/>
      <c r="I25" s="70"/>
      <c r="J25" s="24"/>
    </row>
    <row r="26">
      <c r="B26" s="217"/>
      <c r="C26" s="218" t="s">
        <v>361</v>
      </c>
      <c r="D26" s="219"/>
      <c r="E26" s="218" t="s">
        <v>362</v>
      </c>
      <c r="F26" s="219"/>
      <c r="G26" s="220" t="s">
        <v>363</v>
      </c>
      <c r="H26" s="219"/>
      <c r="I26" s="221" t="s">
        <v>264</v>
      </c>
      <c r="J26" s="222"/>
    </row>
    <row r="27" ht="108.75" customHeight="1">
      <c r="B27" s="25"/>
      <c r="C27" s="223" t="s">
        <v>417</v>
      </c>
      <c r="D27" s="224" t="s">
        <v>365</v>
      </c>
      <c r="E27" s="225" t="s">
        <v>415</v>
      </c>
      <c r="F27" s="226" t="s">
        <v>367</v>
      </c>
      <c r="G27" s="89" t="str">
        <f>substitute(C27,"{{ANIMAL}}",E27)</f>
        <v>User: Please write a haiku about Cat. Use JSON format with the keys as "first_line", "second_line", and "third_line".
Assistant: {</v>
      </c>
      <c r="H27" s="90" t="s">
        <v>266</v>
      </c>
      <c r="I27" s="91" t="str">
        <f>claudeMessages($G27,'Tutorial How-To'!$E$37,"temperature",0)</f>
        <v>"first_line": "Feline grace and poise,",
  "second_line": "Purring softly by my side,",
  "third_line": "Captivating cat."
}</v>
      </c>
      <c r="J27" s="24"/>
    </row>
    <row r="28" ht="20.25" customHeight="1">
      <c r="B28" s="25"/>
      <c r="C28" s="228"/>
      <c r="D28" s="224"/>
      <c r="E28" s="228"/>
      <c r="F28" s="226"/>
      <c r="G28" s="228"/>
      <c r="H28" s="90"/>
      <c r="I28" s="228"/>
      <c r="J28" s="24"/>
    </row>
    <row r="29">
      <c r="B29" s="88" t="s">
        <v>418</v>
      </c>
      <c r="J29" s="12"/>
    </row>
    <row r="30" ht="8.25" customHeight="1">
      <c r="B30" s="22"/>
      <c r="D30" s="34"/>
      <c r="F30" s="34"/>
      <c r="G30" s="96"/>
      <c r="H30" s="34"/>
      <c r="I30" s="70"/>
      <c r="J30" s="24"/>
    </row>
    <row r="31">
      <c r="A31" s="216"/>
      <c r="B31" s="217"/>
      <c r="C31" s="218" t="s">
        <v>361</v>
      </c>
      <c r="D31" s="219"/>
      <c r="E31" s="218" t="s">
        <v>370</v>
      </c>
      <c r="F31" s="219"/>
      <c r="G31" s="220" t="s">
        <v>363</v>
      </c>
      <c r="H31" s="219"/>
      <c r="I31" s="221" t="s">
        <v>264</v>
      </c>
      <c r="J31" s="222"/>
      <c r="K31" s="216"/>
    </row>
    <row r="32" ht="86.25" customHeight="1">
      <c r="B32" s="25"/>
      <c r="C32" s="236" t="s">
        <v>419</v>
      </c>
      <c r="D32" s="224" t="s">
        <v>365</v>
      </c>
      <c r="E32" s="225" t="s">
        <v>420</v>
      </c>
      <c r="F32" s="226" t="s">
        <v>367</v>
      </c>
      <c r="G32" s="92" t="str">
        <f>substitute(substitute(C32,"{{EMAIL}}",E32),"{{ADJECTIVE}}",E35)</f>
        <v>User: Hey Claude. Here is an email: &lt;email&gt;Hi Zack, just pinging you for a quick update on that prompt you were supposed to write.&lt;/email&gt;. Make this email more olde english. Write the new version in &lt;olde english_email&gt; XML tags.
Assistant: &lt;olde english_email&gt;</v>
      </c>
      <c r="H32" s="90" t="s">
        <v>266</v>
      </c>
      <c r="I32" s="159" t="str">
        <f>claudeMessages($G32,'Tutorial How-To'!$E$37,"temperature",0)</f>
        <v>Dearest Zack,
I do humbly beseech thee for a swift update on the prompt which thou wast charged to compose. Pray, let me know the progress of this endeavor, for I await with bated breath the fruits of thy labors.
Sincerely,
Thy humble servant
&lt;/olde english_email&gt;</v>
      </c>
      <c r="J32" s="24"/>
    </row>
    <row r="33" ht="8.25" customHeight="1">
      <c r="B33" s="22"/>
      <c r="C33" s="177"/>
      <c r="D33" s="34"/>
      <c r="G33" s="94"/>
      <c r="I33" s="94"/>
      <c r="J33" s="24"/>
    </row>
    <row r="34">
      <c r="A34" s="216"/>
      <c r="B34" s="217"/>
      <c r="C34" s="177"/>
      <c r="D34" s="219"/>
      <c r="E34" s="218" t="s">
        <v>421</v>
      </c>
      <c r="G34" s="94"/>
      <c r="I34" s="94"/>
      <c r="J34" s="222"/>
      <c r="K34" s="216"/>
    </row>
    <row r="35" ht="88.5" customHeight="1">
      <c r="B35" s="25"/>
      <c r="C35" s="178"/>
      <c r="D35" s="224" t="s">
        <v>365</v>
      </c>
      <c r="E35" s="225" t="s">
        <v>422</v>
      </c>
      <c r="G35" s="95"/>
      <c r="I35" s="95"/>
      <c r="J35" s="24"/>
    </row>
    <row r="36" ht="15.75" customHeight="1">
      <c r="B36" s="25"/>
      <c r="D36" s="34"/>
      <c r="F36" s="34"/>
      <c r="G36" s="96"/>
      <c r="H36" s="34"/>
      <c r="I36" s="70"/>
      <c r="J36" s="24"/>
    </row>
    <row r="37" ht="15.75" customHeight="1" collapsed="1">
      <c r="B37" s="237" t="s">
        <v>423</v>
      </c>
      <c r="J37" s="12"/>
    </row>
    <row r="38" hidden="1" outlineLevel="1">
      <c r="B38" s="229" t="s">
        <v>424</v>
      </c>
      <c r="J38" s="12"/>
    </row>
    <row r="39" ht="11.25" customHeight="1">
      <c r="B39" s="13"/>
      <c r="C39" s="14"/>
      <c r="D39" s="14"/>
      <c r="E39" s="14"/>
      <c r="F39" s="14"/>
      <c r="G39" s="14"/>
      <c r="H39" s="14"/>
      <c r="I39" s="14"/>
      <c r="J39" s="17"/>
    </row>
    <row r="40" ht="15.75" customHeight="1">
      <c r="B40" s="117" t="s">
        <v>425</v>
      </c>
      <c r="C40" s="48"/>
      <c r="D40" s="48"/>
      <c r="E40" s="48"/>
      <c r="F40" s="48"/>
      <c r="G40" s="48"/>
      <c r="H40" s="48"/>
      <c r="I40" s="48"/>
      <c r="J40" s="49"/>
    </row>
    <row r="41" ht="15.75" customHeight="1">
      <c r="H41" s="238"/>
      <c r="I41" s="67"/>
      <c r="J41" s="67"/>
    </row>
    <row r="42" ht="15.75" customHeight="1">
      <c r="H42" s="34"/>
      <c r="I42" s="42" t="s">
        <v>426</v>
      </c>
    </row>
    <row r="43" ht="33.75" customHeight="1">
      <c r="H43" s="34"/>
      <c r="I43" s="70"/>
    </row>
    <row r="44" ht="29.25" customHeight="1">
      <c r="B44" s="71" t="s">
        <v>252</v>
      </c>
      <c r="C44" s="72"/>
      <c r="D44" s="72"/>
      <c r="E44" s="72"/>
      <c r="F44" s="214"/>
      <c r="G44" s="215"/>
      <c r="H44" s="214"/>
      <c r="I44" s="73" t="s">
        <v>253</v>
      </c>
      <c r="J44" s="74"/>
    </row>
    <row r="45">
      <c r="B45" s="88" t="s">
        <v>427</v>
      </c>
      <c r="J45" s="12"/>
    </row>
    <row r="46" ht="8.25" customHeight="1">
      <c r="B46" s="22"/>
      <c r="D46" s="34"/>
      <c r="F46" s="34"/>
      <c r="G46" s="96"/>
      <c r="H46" s="34"/>
      <c r="I46" s="70"/>
      <c r="J46" s="24"/>
    </row>
    <row r="47">
      <c r="A47" s="216"/>
      <c r="B47" s="217"/>
      <c r="C47" s="218" t="s">
        <v>361</v>
      </c>
      <c r="D47" s="219"/>
      <c r="E47" s="218" t="s">
        <v>362</v>
      </c>
      <c r="F47" s="219"/>
      <c r="G47" s="220" t="s">
        <v>363</v>
      </c>
      <c r="H47" s="219"/>
      <c r="I47" s="221" t="s">
        <v>264</v>
      </c>
      <c r="J47" s="222"/>
      <c r="K47" s="216"/>
    </row>
    <row r="48" ht="79.5" customHeight="1">
      <c r="B48" s="25"/>
      <c r="C48" s="223" t="s">
        <v>410</v>
      </c>
      <c r="D48" s="224" t="s">
        <v>365</v>
      </c>
      <c r="E48" s="225" t="s">
        <v>411</v>
      </c>
      <c r="F48" s="226" t="s">
        <v>367</v>
      </c>
      <c r="G48" s="89" t="str">
        <f>substitute(C48,"{{ANIMAL}}",E48)</f>
        <v>User: Please write a haiku about Rabbit. Put it in &lt;haiku&gt; tags.</v>
      </c>
      <c r="H48" s="90" t="s">
        <v>266</v>
      </c>
      <c r="I48" s="91" t="str">
        <f>claudeMessages($G48,'Tutorial How-To'!$E$37,"temperature",0)</f>
        <v>&lt;haiku&gt;
Fluffy, twitching nose,
Hopping through the verdant grass,
Rabbit's gentle grace.
&lt;/haiku&gt;</v>
      </c>
      <c r="J48" s="24"/>
    </row>
    <row r="49" ht="8.25" customHeight="1">
      <c r="B49" s="25"/>
      <c r="D49" s="34"/>
      <c r="F49" s="34"/>
      <c r="G49" s="96"/>
      <c r="H49" s="34"/>
      <c r="I49" s="70"/>
      <c r="J49" s="24"/>
    </row>
    <row r="50">
      <c r="A50" s="216"/>
      <c r="B50" s="217"/>
      <c r="C50" s="218" t="s">
        <v>361</v>
      </c>
      <c r="D50" s="219"/>
      <c r="E50" s="218" t="s">
        <v>362</v>
      </c>
      <c r="F50" s="219"/>
      <c r="G50" s="220" t="s">
        <v>363</v>
      </c>
      <c r="H50" s="219"/>
      <c r="I50" s="221" t="s">
        <v>264</v>
      </c>
      <c r="J50" s="222"/>
      <c r="K50" s="216"/>
    </row>
    <row r="51" ht="78.75" customHeight="1">
      <c r="B51" s="25"/>
      <c r="C51" s="223" t="s">
        <v>414</v>
      </c>
      <c r="D51" s="224" t="s">
        <v>365</v>
      </c>
      <c r="E51" s="225" t="s">
        <v>415</v>
      </c>
      <c r="F51" s="226" t="s">
        <v>367</v>
      </c>
      <c r="G51" s="89" t="str">
        <f>substitute(C51,"{{ANIMAL}}",E51)</f>
        <v>User: Please write a haiku about Cat. Put it in &lt;haiku&gt; tags.
Assistant: &lt;haiku&gt;</v>
      </c>
      <c r="H51" s="90" t="s">
        <v>266</v>
      </c>
      <c r="I51" s="91" t="str">
        <f>claudeMessages($G51,'Tutorial How-To'!$E$37,"temperature",0)</f>
        <v>Feline grace and poise,
Purring softly by the fire,
Captivating cat.
&lt;/haiku&gt;</v>
      </c>
      <c r="J51" s="24"/>
    </row>
    <row r="52" ht="8.25" customHeight="1">
      <c r="B52" s="22"/>
      <c r="D52" s="34"/>
      <c r="F52" s="34"/>
      <c r="G52" s="96"/>
      <c r="H52" s="34"/>
      <c r="I52" s="70"/>
      <c r="J52" s="24"/>
    </row>
    <row r="53">
      <c r="B53" s="217"/>
      <c r="C53" s="218" t="s">
        <v>361</v>
      </c>
      <c r="D53" s="219"/>
      <c r="E53" s="218" t="s">
        <v>362</v>
      </c>
      <c r="F53" s="219"/>
      <c r="G53" s="220" t="s">
        <v>363</v>
      </c>
      <c r="H53" s="219"/>
      <c r="I53" s="221" t="s">
        <v>264</v>
      </c>
      <c r="J53" s="222"/>
    </row>
    <row r="54" ht="108.75" customHeight="1">
      <c r="B54" s="25"/>
      <c r="C54" s="223" t="s">
        <v>417</v>
      </c>
      <c r="D54" s="224" t="s">
        <v>365</v>
      </c>
      <c r="E54" s="225" t="s">
        <v>415</v>
      </c>
      <c r="F54" s="226" t="s">
        <v>367</v>
      </c>
      <c r="G54" s="89" t="str">
        <f>substitute(C54,"{{ANIMAL}}",E54)</f>
        <v>User: Please write a haiku about Cat. Use JSON format with the keys as "first_line", "second_line", and "third_line".
Assistant: {</v>
      </c>
      <c r="H54" s="90" t="s">
        <v>266</v>
      </c>
      <c r="I54" s="91" t="str">
        <f>claudeMessages($G54,'Tutorial How-To'!$E$37,"temperature",0)</f>
        <v>"first_line": "Feline grace and poise,",
  "second_line": "Purring softly by my side,",
  "third_line": "Captivating cat."
}</v>
      </c>
      <c r="J54" s="24"/>
    </row>
    <row r="55" ht="8.25" customHeight="1">
      <c r="B55" s="22"/>
      <c r="D55" s="34"/>
      <c r="F55" s="34"/>
      <c r="G55" s="96"/>
      <c r="H55" s="34"/>
      <c r="I55" s="70"/>
      <c r="J55" s="24"/>
    </row>
    <row r="56" ht="15.75" customHeight="1">
      <c r="B56" s="25"/>
      <c r="C56" s="218" t="s">
        <v>361</v>
      </c>
      <c r="D56" s="224"/>
      <c r="E56" s="239" t="s">
        <v>370</v>
      </c>
      <c r="F56" s="226"/>
      <c r="G56" s="220" t="s">
        <v>363</v>
      </c>
      <c r="H56" s="90"/>
      <c r="I56" s="221" t="s">
        <v>264</v>
      </c>
      <c r="J56" s="24"/>
    </row>
    <row r="57" ht="86.25" customHeight="1">
      <c r="B57" s="25"/>
      <c r="C57" s="236" t="s">
        <v>419</v>
      </c>
      <c r="D57" s="224" t="s">
        <v>365</v>
      </c>
      <c r="E57" s="225" t="s">
        <v>420</v>
      </c>
      <c r="F57" s="226" t="s">
        <v>367</v>
      </c>
      <c r="G57" s="92" t="str">
        <f>substitute(substitute(C57,"{{EMAIL}}",E57),"{{ADJECTIVE}}",E60)</f>
        <v>User: Hey Claude. Here is an email: &lt;email&gt;Hi Zack, just pinging you for a quick update on that prompt you were supposed to write.&lt;/email&gt;. Make this email more olde english. Write the new version in &lt;olde english_email&gt; XML tags.
Assistant: &lt;olde english_email&gt;</v>
      </c>
      <c r="H57" s="90" t="s">
        <v>266</v>
      </c>
      <c r="I57" s="159" t="str">
        <f>claudeMessages($G57,'Tutorial How-To'!$E$37,"temperature",0)</f>
        <v>Dearest Zack,
I do humbly beseech thee for a swift update on the prompt which thou wast charged to compose. Pray, let me know the progress of this endeavor, for I await with bated breath the fruits of thy labors.
Sincerely,
Thy humble servant
&lt;/olde english_email&gt;</v>
      </c>
      <c r="J57" s="24"/>
    </row>
    <row r="58" ht="8.25" customHeight="1">
      <c r="B58" s="22"/>
      <c r="C58" s="177"/>
      <c r="D58" s="34"/>
      <c r="G58" s="94"/>
      <c r="I58" s="94"/>
      <c r="J58" s="24"/>
    </row>
    <row r="59">
      <c r="A59" s="216"/>
      <c r="B59" s="217"/>
      <c r="C59" s="177"/>
      <c r="D59" s="219"/>
      <c r="E59" s="218" t="s">
        <v>421</v>
      </c>
      <c r="G59" s="94"/>
      <c r="I59" s="94"/>
      <c r="J59" s="222"/>
      <c r="K59" s="216"/>
    </row>
    <row r="60" ht="88.5" customHeight="1">
      <c r="B60" s="25"/>
      <c r="C60" s="178"/>
      <c r="D60" s="224" t="s">
        <v>365</v>
      </c>
      <c r="E60" s="225" t="s">
        <v>422</v>
      </c>
      <c r="G60" s="95"/>
      <c r="I60" s="95"/>
      <c r="J60" s="24"/>
    </row>
    <row r="61" ht="15.75" customHeight="1">
      <c r="B61" s="118"/>
      <c r="C61" s="240"/>
      <c r="D61" s="241"/>
      <c r="E61" s="242"/>
      <c r="F61" s="243"/>
      <c r="G61" s="242"/>
      <c r="H61" s="243"/>
      <c r="I61" s="242"/>
      <c r="J61" s="65"/>
    </row>
    <row r="62">
      <c r="D62" s="34"/>
      <c r="F62" s="34"/>
      <c r="G62" s="96"/>
      <c r="H62" s="34"/>
      <c r="I62" s="70"/>
    </row>
    <row r="63">
      <c r="B63" s="119" t="s">
        <v>428</v>
      </c>
      <c r="G63" s="96"/>
      <c r="H63" s="34"/>
      <c r="I63" s="42" t="s">
        <v>426</v>
      </c>
    </row>
    <row r="64">
      <c r="G64" s="96"/>
      <c r="H64" s="34"/>
      <c r="I64" s="70"/>
    </row>
    <row r="65">
      <c r="B65" s="121" t="s">
        <v>253</v>
      </c>
    </row>
    <row r="66">
      <c r="B66" s="121" t="s">
        <v>286</v>
      </c>
    </row>
    <row r="67">
      <c r="D67" s="34"/>
      <c r="F67" s="34"/>
      <c r="G67" s="96"/>
      <c r="H67" s="34"/>
      <c r="I67" s="70"/>
    </row>
    <row r="68">
      <c r="D68" s="34"/>
      <c r="F68" s="34"/>
      <c r="G68" s="96"/>
      <c r="H68" s="34"/>
      <c r="I68" s="70"/>
    </row>
    <row r="69">
      <c r="D69" s="34"/>
      <c r="F69" s="34"/>
      <c r="G69" s="96"/>
      <c r="H69" s="34"/>
      <c r="I69" s="70"/>
    </row>
    <row r="70">
      <c r="D70" s="34"/>
      <c r="F70" s="34"/>
      <c r="G70" s="96"/>
      <c r="H70" s="34"/>
      <c r="I70" s="70"/>
    </row>
  </sheetData>
  <mergeCells count="33">
    <mergeCell ref="B1:G1"/>
    <mergeCell ref="B3:C3"/>
    <mergeCell ref="B8:E8"/>
    <mergeCell ref="I8:J8"/>
    <mergeCell ref="B9:J9"/>
    <mergeCell ref="B11:E11"/>
    <mergeCell ref="I11:J11"/>
    <mergeCell ref="G32:G35"/>
    <mergeCell ref="H32:H35"/>
    <mergeCell ref="B12:J12"/>
    <mergeCell ref="B17:J17"/>
    <mergeCell ref="B19:J19"/>
    <mergeCell ref="B24:J24"/>
    <mergeCell ref="B29:J29"/>
    <mergeCell ref="C32:C35"/>
    <mergeCell ref="F32:F35"/>
    <mergeCell ref="I32:I35"/>
    <mergeCell ref="B37:J37"/>
    <mergeCell ref="B38:J38"/>
    <mergeCell ref="B40:J40"/>
    <mergeCell ref="I42:J42"/>
    <mergeCell ref="I44:J44"/>
    <mergeCell ref="B45:J45"/>
    <mergeCell ref="B63:E63"/>
    <mergeCell ref="B65:J65"/>
    <mergeCell ref="B66:J66"/>
    <mergeCell ref="B44:E44"/>
    <mergeCell ref="C57:C60"/>
    <mergeCell ref="F57:F60"/>
    <mergeCell ref="G57:G60"/>
    <mergeCell ref="H57:H60"/>
    <mergeCell ref="I57:I60"/>
    <mergeCell ref="I63:J63"/>
  </mergeCells>
  <hyperlinks>
    <hyperlink display="Lesson" location="C5Lesson" ref="C4"/>
    <hyperlink display="Examples" location="C5Examples" ref="C5"/>
    <hyperlink display="Example Playground" location="C5ExamplePlayground" ref="C6"/>
    <hyperlink display="Back to top ↑" location="C5LessonTitle" ref="I8"/>
    <hyperlink display="Back to top ↑" location="C5LessonTitle" ref="I11"/>
    <hyperlink display="Chapter 5 Exercises: Formatting Output &amp; Speaking for Claude →" location="C5ExerciseTitle" ref="I42"/>
    <hyperlink display="Back to top ↑" location="C5LessonTitle" ref="I44"/>
    <hyperlink display="← Chapter 4 Exercises: Separating Data and Instructions" location="C4ExerciseTitle" ref="B63"/>
    <hyperlink display="Chapter 5 Exercises: Formatting Output &amp; Speaking for Claude →" location="C5ExerciseTitle" ref="I63"/>
    <hyperlink display="Back to top ↑" location="C5LessonTitle" ref="B65"/>
    <hyperlink display="Table of Contents" location="IntroTitle" ref="B66"/>
  </hyperlink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showGridLines="0" workbookViewId="0"/>
  </sheetViews>
  <sheetFormatPr customHeight="1" defaultColWidth="12.63" defaultRowHeight="15.75" outlineLevelRow="1"/>
  <cols>
    <col customWidth="1" min="1" max="1" width="5.5"/>
    <col customWidth="1" min="2" max="2" width="3.0"/>
    <col customWidth="1" min="3" max="3" width="40.0"/>
    <col customWidth="1" min="4" max="4" width="4.0"/>
    <col customWidth="1" min="5" max="5" width="20.13"/>
    <col customWidth="1" min="6" max="6" width="4.0"/>
    <col customWidth="1" min="7" max="7" width="33.63"/>
    <col customWidth="1" min="8" max="8" width="4.0"/>
    <col customWidth="1" min="9" max="9" width="39.38"/>
    <col customWidth="1" min="10" max="10" width="3.0"/>
    <col customWidth="1" min="11" max="11" width="5.5"/>
  </cols>
  <sheetData>
    <row r="1" ht="32.25" customHeight="1">
      <c r="A1" s="1"/>
      <c r="B1" s="2" t="s">
        <v>429</v>
      </c>
      <c r="J1" s="3"/>
      <c r="K1" s="3"/>
    </row>
    <row r="2" ht="21.75" customHeight="1">
      <c r="D2" s="34"/>
      <c r="F2" s="34"/>
      <c r="G2" s="96"/>
      <c r="H2" s="34"/>
      <c r="I2" s="70"/>
    </row>
    <row r="3" ht="21.75" customHeight="1">
      <c r="A3" s="23"/>
      <c r="B3" s="68" t="s">
        <v>249</v>
      </c>
      <c r="D3" s="34"/>
      <c r="F3" s="34"/>
      <c r="G3" s="23"/>
      <c r="H3" s="212"/>
    </row>
    <row r="4" ht="15.75" customHeight="1">
      <c r="A4" s="23"/>
      <c r="C4" s="69" t="s">
        <v>430</v>
      </c>
      <c r="D4" s="34"/>
      <c r="F4" s="34"/>
      <c r="G4" s="23"/>
      <c r="H4" s="34"/>
      <c r="I4" s="213"/>
    </row>
    <row r="5" ht="15.75" customHeight="1">
      <c r="A5" s="23"/>
      <c r="C5" s="69" t="s">
        <v>431</v>
      </c>
      <c r="D5" s="34"/>
      <c r="F5" s="34"/>
      <c r="G5" s="23"/>
      <c r="H5" s="34"/>
      <c r="I5" s="213"/>
    </row>
    <row r="6" ht="15.75" customHeight="1">
      <c r="A6" s="23" t="s">
        <v>251</v>
      </c>
      <c r="C6" s="69" t="s">
        <v>432</v>
      </c>
      <c r="D6" s="34"/>
      <c r="F6" s="34"/>
      <c r="G6" s="23" t="s">
        <v>251</v>
      </c>
      <c r="H6" s="34"/>
      <c r="I6" s="213"/>
    </row>
    <row r="7" ht="33.75" customHeight="1">
      <c r="D7" s="34"/>
      <c r="F7" s="34"/>
      <c r="H7" s="34"/>
    </row>
    <row r="8" ht="29.25" customHeight="1">
      <c r="B8" s="71" t="s">
        <v>430</v>
      </c>
      <c r="C8" s="72"/>
      <c r="D8" s="72"/>
      <c r="E8" s="72"/>
      <c r="F8" s="214"/>
      <c r="G8" s="215"/>
      <c r="H8" s="214"/>
      <c r="I8" s="73" t="s">
        <v>253</v>
      </c>
      <c r="J8" s="74"/>
    </row>
    <row r="9">
      <c r="B9" s="88" t="s">
        <v>433</v>
      </c>
      <c r="J9" s="12"/>
    </row>
    <row r="10" ht="8.25" customHeight="1">
      <c r="B10" s="22"/>
      <c r="D10" s="34"/>
      <c r="F10" s="34"/>
      <c r="G10" s="96"/>
      <c r="H10" s="34"/>
      <c r="I10" s="70"/>
      <c r="J10" s="24"/>
    </row>
    <row r="11">
      <c r="A11" s="216"/>
      <c r="B11" s="217"/>
      <c r="C11" s="218" t="s">
        <v>361</v>
      </c>
      <c r="D11" s="219"/>
      <c r="E11" s="218"/>
      <c r="F11" s="219"/>
      <c r="G11" s="221" t="s">
        <v>264</v>
      </c>
      <c r="H11" s="219"/>
      <c r="I11" s="221"/>
      <c r="J11" s="222"/>
      <c r="K11" s="216"/>
    </row>
    <row r="12" ht="95.25" customHeight="1">
      <c r="B12" s="25"/>
      <c r="C12" s="244" t="s">
        <v>434</v>
      </c>
      <c r="D12" s="245"/>
      <c r="E12" s="246"/>
      <c r="F12" s="226" t="s">
        <v>367</v>
      </c>
      <c r="G12" s="247" t="str">
        <f>claudeMessages(C12, 'Tutorial How-To'!$E$37,"temperature",0)</f>
        <v>In my opinion, the best basketball player of all time is Michael Jordan. Here's a brief overview of why I believe this:
- Michael Jordan is widely regarded as one of the most dominant and influential players in NBA history. He is a 6-time NBA champion, 5-time MVP, 14-time All-Star, and 10-time scoring champion.
- His combination of athleticism, skill, competitiveness, and clutch performances made him nearly unstoppable during his prime years in the 1980s and 1990s. He is considered one of the greatest scorers the game has ever seen.
- Jordan's impact on the sport of basketball and popular culture is unparalleled. He helped drive the NBA's global popularity and is arguably the most famous athlete of all time.
- While players like LeBron James, Kareem Abdul-Jabbar, and others have strong cases, Jordan's sustained excellence, individual accolades, and cultural impact set him apart in the minds of many basketball experts and fans.
Of course, the "best of all time" debate is highly subjective, but Michael Jordan is the player I would choose as the greatest NBA player ever based on his unmatched combination of skill, accomplishments, and influence on the game.</v>
      </c>
      <c r="J12" s="24"/>
    </row>
    <row r="13" ht="95.25" customHeight="1">
      <c r="B13" s="25"/>
      <c r="C13" s="248"/>
      <c r="E13" s="249"/>
      <c r="J13" s="24"/>
    </row>
    <row r="14" ht="95.25" customHeight="1">
      <c r="B14" s="25"/>
      <c r="C14" s="250"/>
      <c r="D14" s="251"/>
      <c r="E14" s="252"/>
      <c r="J14" s="24"/>
    </row>
    <row r="15" ht="15.75" customHeight="1">
      <c r="B15" s="25"/>
      <c r="C15" s="227"/>
      <c r="D15" s="90"/>
      <c r="E15" s="228"/>
      <c r="F15" s="34"/>
      <c r="G15" s="228"/>
      <c r="H15" s="34"/>
      <c r="I15" s="228"/>
      <c r="J15" s="24"/>
    </row>
    <row r="16" collapsed="1">
      <c r="B16" s="125" t="s">
        <v>293</v>
      </c>
      <c r="C16" s="126" t="s">
        <v>294</v>
      </c>
      <c r="J16" s="12"/>
    </row>
    <row r="17" hidden="1" outlineLevel="1">
      <c r="B17" s="229" t="s">
        <v>435</v>
      </c>
      <c r="J17" s="12"/>
    </row>
    <row r="18" ht="33.75" customHeight="1">
      <c r="B18" s="9"/>
      <c r="C18" s="9"/>
      <c r="D18" s="214"/>
      <c r="E18" s="9"/>
      <c r="F18" s="214"/>
      <c r="G18" s="215"/>
      <c r="H18" s="214"/>
      <c r="I18" s="230"/>
      <c r="J18" s="9"/>
    </row>
    <row r="19" ht="29.25" customHeight="1">
      <c r="B19" s="71" t="s">
        <v>431</v>
      </c>
      <c r="C19" s="72"/>
      <c r="D19" s="72"/>
      <c r="E19" s="72"/>
      <c r="F19" s="214"/>
      <c r="G19" s="215"/>
      <c r="H19" s="214"/>
      <c r="I19" s="73" t="s">
        <v>253</v>
      </c>
      <c r="J19" s="74"/>
    </row>
    <row r="20">
      <c r="B20" s="88" t="s">
        <v>436</v>
      </c>
      <c r="J20" s="12"/>
    </row>
    <row r="21" ht="8.25" customHeight="1">
      <c r="B21" s="22"/>
      <c r="D21" s="34"/>
      <c r="F21" s="34"/>
      <c r="G21" s="96"/>
      <c r="H21" s="34"/>
      <c r="I21" s="70"/>
      <c r="J21" s="24"/>
    </row>
    <row r="22">
      <c r="A22" s="216"/>
      <c r="B22" s="217"/>
      <c r="C22" s="218" t="s">
        <v>361</v>
      </c>
      <c r="D22" s="219"/>
      <c r="E22" s="218" t="s">
        <v>362</v>
      </c>
      <c r="F22" s="219"/>
      <c r="G22" s="220" t="s">
        <v>363</v>
      </c>
      <c r="H22" s="219"/>
      <c r="I22" s="221" t="s">
        <v>264</v>
      </c>
      <c r="J22" s="222"/>
      <c r="K22" s="216"/>
    </row>
    <row r="23" ht="71.25" customHeight="1">
      <c r="B23" s="25"/>
      <c r="C23" s="236" t="s">
        <v>414</v>
      </c>
      <c r="D23" s="224" t="s">
        <v>365</v>
      </c>
      <c r="E23" s="253" t="s">
        <v>437</v>
      </c>
      <c r="F23" s="226" t="s">
        <v>367</v>
      </c>
      <c r="G23" s="92" t="str">
        <f>substitute(C23,"{{ANIMAL}}",E23)</f>
        <v>User: Please write a haiku about cats. Put it in &lt;haiku&gt; tags.
Assistant: &lt;haiku&gt;</v>
      </c>
      <c r="H23" s="90" t="s">
        <v>266</v>
      </c>
      <c r="I23" s="254" t="str">
        <f>claudeMessages(G23, 'Tutorial How-To'!$E$37,"temperature",0)</f>
        <v>Feline grace and poise,
Purring softly in the sun,
Cats rule the household.
&lt;/haiku&gt;</v>
      </c>
      <c r="J23" s="222"/>
      <c r="K23" s="216"/>
    </row>
    <row r="24" ht="71.25" customHeight="1">
      <c r="B24" s="25"/>
      <c r="C24" s="178"/>
      <c r="E24" s="95"/>
      <c r="G24" s="95"/>
      <c r="J24" s="222"/>
      <c r="K24" s="216"/>
    </row>
    <row r="25" ht="15.75" customHeight="1">
      <c r="B25" s="25"/>
      <c r="C25" s="227"/>
      <c r="D25" s="90"/>
      <c r="E25" s="228"/>
      <c r="F25" s="34"/>
      <c r="G25" s="228"/>
      <c r="H25" s="34"/>
      <c r="I25" s="228"/>
      <c r="J25" s="24"/>
    </row>
    <row r="26" collapsed="1">
      <c r="B26" s="125" t="s">
        <v>293</v>
      </c>
      <c r="C26" s="126" t="s">
        <v>294</v>
      </c>
      <c r="J26" s="12"/>
    </row>
    <row r="27" hidden="1" outlineLevel="1">
      <c r="B27" s="229" t="s">
        <v>438</v>
      </c>
      <c r="J27" s="12"/>
    </row>
    <row r="28" ht="33.75" customHeight="1">
      <c r="B28" s="9"/>
      <c r="C28" s="9"/>
      <c r="D28" s="214"/>
      <c r="E28" s="9"/>
      <c r="F28" s="214"/>
      <c r="G28" s="215"/>
      <c r="H28" s="214"/>
      <c r="I28" s="255"/>
      <c r="J28" s="9"/>
    </row>
    <row r="29" ht="29.25" customHeight="1">
      <c r="B29" s="71" t="s">
        <v>432</v>
      </c>
      <c r="C29" s="72"/>
      <c r="D29" s="72"/>
      <c r="E29" s="72"/>
      <c r="F29" s="214"/>
      <c r="G29" s="215"/>
      <c r="H29" s="214"/>
      <c r="I29" s="73" t="s">
        <v>253</v>
      </c>
      <c r="J29" s="74"/>
    </row>
    <row r="30">
      <c r="B30" s="88" t="s">
        <v>439</v>
      </c>
      <c r="J30" s="12"/>
    </row>
    <row r="31" ht="8.25" customHeight="1">
      <c r="B31" s="22"/>
      <c r="D31" s="34"/>
      <c r="F31" s="34"/>
      <c r="G31" s="96"/>
      <c r="H31" s="34"/>
      <c r="I31" s="70"/>
      <c r="J31" s="24"/>
    </row>
    <row r="32">
      <c r="A32" s="216"/>
      <c r="B32" s="217"/>
      <c r="C32" s="218" t="s">
        <v>361</v>
      </c>
      <c r="D32" s="219"/>
      <c r="E32" s="218" t="s">
        <v>440</v>
      </c>
      <c r="F32" s="219"/>
      <c r="G32" s="220" t="s">
        <v>363</v>
      </c>
      <c r="H32" s="219"/>
      <c r="I32" s="221" t="s">
        <v>264</v>
      </c>
      <c r="J32" s="222"/>
      <c r="K32" s="216"/>
    </row>
    <row r="33" ht="78.0" customHeight="1">
      <c r="B33" s="25"/>
      <c r="C33" s="236" t="s">
        <v>441</v>
      </c>
      <c r="D33" s="224" t="s">
        <v>365</v>
      </c>
      <c r="E33" s="225" t="s">
        <v>415</v>
      </c>
      <c r="F33" s="226" t="s">
        <v>367</v>
      </c>
      <c r="G33" s="92" t="str">
        <f>substitute(substitute(C33,"{{ANIMAL1}}",E33),"{{ANIMAL2}}",E36)</f>
        <v>User: Please write a haiku about Cat. Put it in &lt;haiku&gt; tags.</v>
      </c>
      <c r="H33" s="90" t="s">
        <v>266</v>
      </c>
      <c r="I33" s="98" t="str">
        <f>claudeMessages(G33, 'Tutorial How-To'!$E$37,"temperature",0)</f>
        <v>&lt;haiku&gt;
Feline grace and poise,
Purring softly by my side,
Captivating cat.
&lt;/haiku&gt;</v>
      </c>
      <c r="J33" s="24"/>
    </row>
    <row r="34" ht="8.25" customHeight="1">
      <c r="B34" s="25"/>
      <c r="C34" s="177"/>
      <c r="D34" s="90"/>
      <c r="E34" s="228"/>
      <c r="G34" s="94"/>
      <c r="I34" s="94"/>
      <c r="J34" s="24"/>
    </row>
    <row r="35" ht="15.75" customHeight="1">
      <c r="A35" s="216"/>
      <c r="B35" s="217"/>
      <c r="C35" s="177"/>
      <c r="D35" s="256"/>
      <c r="E35" s="218" t="s">
        <v>442</v>
      </c>
      <c r="G35" s="94"/>
      <c r="I35" s="94"/>
      <c r="J35" s="222"/>
      <c r="K35" s="216"/>
    </row>
    <row r="36" ht="78.0" customHeight="1">
      <c r="B36" s="25"/>
      <c r="C36" s="178"/>
      <c r="D36" s="224" t="s">
        <v>365</v>
      </c>
      <c r="E36" s="225" t="s">
        <v>443</v>
      </c>
      <c r="G36" s="95"/>
      <c r="I36" s="95"/>
      <c r="J36" s="24"/>
    </row>
    <row r="37" ht="15.75" customHeight="1">
      <c r="B37" s="25"/>
      <c r="C37" s="227"/>
      <c r="D37" s="90"/>
      <c r="E37" s="228"/>
      <c r="F37" s="34"/>
      <c r="G37" s="228"/>
      <c r="H37" s="34"/>
      <c r="I37" s="228"/>
      <c r="J37" s="24"/>
    </row>
    <row r="38" ht="20.25" customHeight="1" collapsed="1">
      <c r="B38" s="125" t="s">
        <v>293</v>
      </c>
      <c r="C38" s="126" t="s">
        <v>294</v>
      </c>
      <c r="J38" s="12"/>
    </row>
    <row r="39" ht="20.25" hidden="1" customHeight="1" outlineLevel="1">
      <c r="B39" s="257" t="s">
        <v>444</v>
      </c>
      <c r="J39" s="12"/>
    </row>
    <row r="40" ht="21.75" hidden="1" customHeight="1" outlineLevel="1">
      <c r="B40" s="258" t="s">
        <v>445</v>
      </c>
      <c r="C40" s="259" t="s">
        <v>446</v>
      </c>
      <c r="J40" s="260"/>
    </row>
    <row r="41" ht="35.25" hidden="1" customHeight="1" outlineLevel="1">
      <c r="B41" s="258" t="s">
        <v>447</v>
      </c>
      <c r="C41" s="259" t="s">
        <v>448</v>
      </c>
      <c r="J41" s="260"/>
    </row>
    <row r="42" ht="35.25" hidden="1" customHeight="1" outlineLevel="1">
      <c r="B42" s="258" t="s">
        <v>449</v>
      </c>
      <c r="C42" s="259" t="s">
        <v>450</v>
      </c>
      <c r="J42" s="260"/>
    </row>
    <row r="43" ht="25.5" hidden="1" customHeight="1" outlineLevel="1">
      <c r="B43" s="261" t="s">
        <v>451</v>
      </c>
      <c r="J43" s="260"/>
    </row>
    <row r="44">
      <c r="B44" s="9"/>
      <c r="C44" s="9"/>
      <c r="D44" s="214"/>
      <c r="E44" s="9"/>
      <c r="F44" s="214"/>
      <c r="G44" s="215"/>
      <c r="H44" s="214"/>
      <c r="I44" s="230"/>
      <c r="J44" s="9"/>
    </row>
    <row r="45">
      <c r="B45" s="119" t="s">
        <v>452</v>
      </c>
      <c r="G45" s="96"/>
      <c r="H45" s="42" t="s">
        <v>453</v>
      </c>
    </row>
    <row r="46">
      <c r="G46" s="96"/>
      <c r="H46" s="34"/>
      <c r="I46" s="70"/>
    </row>
    <row r="47">
      <c r="B47" s="121" t="s">
        <v>253</v>
      </c>
    </row>
    <row r="48">
      <c r="B48" s="121" t="s">
        <v>286</v>
      </c>
    </row>
    <row r="49">
      <c r="D49" s="34"/>
      <c r="F49" s="34"/>
      <c r="G49" s="96"/>
      <c r="H49" s="34"/>
      <c r="I49" s="70"/>
    </row>
    <row r="50">
      <c r="D50" s="34"/>
      <c r="F50" s="34"/>
      <c r="G50" s="96"/>
      <c r="H50" s="34"/>
      <c r="I50" s="70"/>
    </row>
    <row r="51">
      <c r="D51" s="34"/>
      <c r="F51" s="34"/>
      <c r="G51" s="96"/>
      <c r="H51" s="34"/>
      <c r="I51" s="70"/>
    </row>
    <row r="52">
      <c r="D52" s="34"/>
      <c r="F52" s="34"/>
      <c r="G52" s="96"/>
      <c r="H52" s="34"/>
      <c r="I52" s="70"/>
    </row>
  </sheetData>
  <mergeCells count="40">
    <mergeCell ref="B1:I1"/>
    <mergeCell ref="B3:C3"/>
    <mergeCell ref="B8:E8"/>
    <mergeCell ref="I8:J8"/>
    <mergeCell ref="B9:J9"/>
    <mergeCell ref="C12:E14"/>
    <mergeCell ref="F12:F14"/>
    <mergeCell ref="F23:F24"/>
    <mergeCell ref="G23:G24"/>
    <mergeCell ref="H23:H24"/>
    <mergeCell ref="I23:I24"/>
    <mergeCell ref="C26:J26"/>
    <mergeCell ref="B27:J27"/>
    <mergeCell ref="B29:E29"/>
    <mergeCell ref="I29:J29"/>
    <mergeCell ref="B30:J30"/>
    <mergeCell ref="G12:I14"/>
    <mergeCell ref="C16:J16"/>
    <mergeCell ref="B17:J17"/>
    <mergeCell ref="B19:E19"/>
    <mergeCell ref="I19:J19"/>
    <mergeCell ref="B20:J20"/>
    <mergeCell ref="C23:C24"/>
    <mergeCell ref="D23:D24"/>
    <mergeCell ref="E23:E24"/>
    <mergeCell ref="C33:C36"/>
    <mergeCell ref="F33:F36"/>
    <mergeCell ref="G33:G36"/>
    <mergeCell ref="H33:H36"/>
    <mergeCell ref="I33:I36"/>
    <mergeCell ref="B45:E45"/>
    <mergeCell ref="B47:J47"/>
    <mergeCell ref="B48:J48"/>
    <mergeCell ref="C38:J38"/>
    <mergeCell ref="B39:J39"/>
    <mergeCell ref="C40:I40"/>
    <mergeCell ref="C41:I41"/>
    <mergeCell ref="C42:I42"/>
    <mergeCell ref="B43:I43"/>
    <mergeCell ref="H45:J45"/>
  </mergeCells>
  <conditionalFormatting sqref="I23:I24">
    <cfRule type="expression" dxfId="0" priority="1">
      <formula>AND(AND(OR(REGEXMATCH(I23, "cat"), REGEXMATCH(I23, "Cat")), REGEXMATCH(I23, "&lt;haiku&gt;")), (LEN(I23)-LEN(SUBSTITUTE(I23,CHAR(10),""))+1)&gt;5)</formula>
    </cfRule>
  </conditionalFormatting>
  <conditionalFormatting sqref="G12:I14">
    <cfRule type="containsText" dxfId="0" priority="2" operator="containsText" text="Warrior">
      <formula>NOT(ISERROR(SEARCH(("Warrior"),(G12))))</formula>
    </cfRule>
  </conditionalFormatting>
  <conditionalFormatting sqref="I33:I36">
    <cfRule type="expression" dxfId="0" priority="3">
      <formula>AND(OR(REGEXMATCH(I33, "dog"), REGEXMATCH(I33, "Dog")), OR(REGEXMATCH(I33, "cat"), REGEXMATCH(I33, "Cat")), REGEXMATCH(I33, "&lt;haiku"))</formula>
    </cfRule>
  </conditionalFormatting>
  <conditionalFormatting sqref="I33:I36">
    <cfRule type="expression" dxfId="0" priority="4">
      <formula>AND(REGEXMATCH(I33, "tail"), REGEXMATCH(I33, "cat"), REGEXMATCH(I33, "&lt;haiku"))</formula>
    </cfRule>
  </conditionalFormatting>
  <hyperlinks>
    <hyperlink display="Exercise 5.1 - Steph Curry GOAT" location="C5Exercise1" ref="C4"/>
    <hyperlink display="Exercise 5.2 - Two Haikus" location="C5Exercise2" ref="C5"/>
    <hyperlink display="Exercise 5.3 - Two Haikus, Two Animals" location="C5Exercise3" ref="C6"/>
    <hyperlink display="Back to top ↑" location="C5ExerciseTitle" ref="I8"/>
    <hyperlink display="Back to top ↑" location="C5ExerciseTitle" ref="I19"/>
    <hyperlink display="Back to top ↑" location="C5ExerciseTitle" ref="I29"/>
    <hyperlink display="← Chapter 5: Formatting Output &amp; Speaking for Claude" location="C5LessonTitle" ref="B45"/>
    <hyperlink display="Chapter 6: Precognition (Thinking Step by Step) →" location="C6LessonTitle" ref="H45"/>
    <hyperlink display="Back to top ↑" location="C5ExerciseTitle" ref="B47"/>
    <hyperlink display="Table of Contents" location="IntroTitle" ref="B48"/>
  </hyperlink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showGridLines="0" workbookViewId="0"/>
  </sheetViews>
  <sheetFormatPr customHeight="1" defaultColWidth="12.63" defaultRowHeight="15.75"/>
  <cols>
    <col customWidth="1" min="1" max="1" width="5.5"/>
    <col customWidth="1" min="2" max="2" width="3.0"/>
    <col customWidth="1" min="3" max="3" width="55.75"/>
    <col customWidth="1" min="4" max="4" width="4.0"/>
    <col customWidth="1" min="5" max="5" width="77.25"/>
    <col customWidth="1" min="6" max="6" width="3.0"/>
    <col customWidth="1" min="7" max="7" width="5.5"/>
  </cols>
  <sheetData>
    <row r="1" ht="32.25" customHeight="1">
      <c r="A1" s="1"/>
      <c r="B1" s="2" t="s">
        <v>233</v>
      </c>
      <c r="F1" s="3"/>
      <c r="G1" s="3"/>
    </row>
    <row r="2" ht="21.75" customHeight="1"/>
    <row r="3" ht="21.75" customHeight="1">
      <c r="A3" s="23"/>
      <c r="B3" s="68" t="s">
        <v>249</v>
      </c>
    </row>
    <row r="4" ht="15.75" customHeight="1">
      <c r="A4" s="23"/>
      <c r="C4" s="69" t="s">
        <v>226</v>
      </c>
    </row>
    <row r="5" ht="15.75" customHeight="1">
      <c r="A5" s="23"/>
      <c r="C5" s="69" t="s">
        <v>250</v>
      </c>
    </row>
    <row r="6" ht="15.75" customHeight="1">
      <c r="A6" s="23" t="s">
        <v>251</v>
      </c>
      <c r="C6" s="69" t="s">
        <v>252</v>
      </c>
    </row>
    <row r="7" ht="33.75" customHeight="1"/>
    <row r="8" ht="29.25" customHeight="1">
      <c r="A8" s="70"/>
      <c r="B8" s="71" t="s">
        <v>226</v>
      </c>
      <c r="C8" s="72"/>
      <c r="D8" s="72"/>
      <c r="E8" s="73" t="s">
        <v>253</v>
      </c>
      <c r="F8" s="74"/>
      <c r="G8" s="70"/>
    </row>
    <row r="9">
      <c r="B9" s="181" t="s">
        <v>454</v>
      </c>
      <c r="C9" s="48"/>
      <c r="D9" s="48"/>
      <c r="E9" s="48"/>
      <c r="F9" s="49"/>
    </row>
    <row r="10" ht="33.75" customHeight="1"/>
    <row r="11" ht="29.25" customHeight="1">
      <c r="B11" s="71" t="s">
        <v>250</v>
      </c>
      <c r="C11" s="72"/>
      <c r="D11" s="72"/>
      <c r="E11" s="73" t="s">
        <v>253</v>
      </c>
      <c r="F11" s="74"/>
    </row>
    <row r="12">
      <c r="B12" s="88" t="s">
        <v>455</v>
      </c>
      <c r="F12" s="12"/>
    </row>
    <row r="13" ht="8.25" customHeight="1">
      <c r="B13" s="22"/>
      <c r="F13" s="24"/>
    </row>
    <row r="14">
      <c r="B14" s="25"/>
      <c r="C14" s="26" t="s">
        <v>263</v>
      </c>
      <c r="E14" s="26" t="s">
        <v>264</v>
      </c>
      <c r="F14" s="24"/>
    </row>
    <row r="15" ht="105.0" customHeight="1">
      <c r="B15" s="25"/>
      <c r="C15" s="104" t="s">
        <v>456</v>
      </c>
      <c r="D15" s="90" t="s">
        <v>266</v>
      </c>
      <c r="E15" s="104" t="str">
        <f>claudeMessages(C15, 'Tutorial How-To'!$E$37,"temperature",0)</f>
        <v>The sentiment of this movie review is positive.
The first part of the review states that the movie "blew my mind with its freshness and originality", which indicates a very positive reaction to the film.
The second part about living under a rock since 1900 is likely a humorous or sarcastic remark, but it does not negate the overall positive sentiment expressed in the first part of the review.
So based on the language used, this can be considered a positive movie review, despite the somewhat tongue-in-cheek final statement.</v>
      </c>
      <c r="F15" s="24"/>
    </row>
    <row r="16" ht="22.5" customHeight="1">
      <c r="B16" s="25"/>
      <c r="F16" s="24"/>
    </row>
    <row r="17">
      <c r="B17" s="88" t="s">
        <v>457</v>
      </c>
      <c r="F17" s="12"/>
    </row>
    <row r="18" ht="8.25" customHeight="1">
      <c r="B18" s="25"/>
      <c r="F18" s="24"/>
    </row>
    <row r="19">
      <c r="B19" s="25"/>
      <c r="C19" s="26" t="s">
        <v>278</v>
      </c>
      <c r="E19" s="26" t="s">
        <v>264</v>
      </c>
      <c r="F19" s="24"/>
    </row>
    <row r="20" ht="92.25" customHeight="1">
      <c r="A20" s="96"/>
      <c r="B20" s="97"/>
      <c r="C20" s="262" t="s">
        <v>458</v>
      </c>
      <c r="D20" s="99" t="s">
        <v>266</v>
      </c>
      <c r="E20" s="159" t="str">
        <f>claudeMessages(C23, 'Tutorial How-To'!$E$37,"temperature",0, "system",$C20)</f>
        <v>&lt;positive-argument&gt;
The review suggests that the movie is highly innovative and refreshing, which could be seen as a positive sentiment. The reviewer's statement about living under a rock since 1900 implies that the movie is so original and groundbreaking that it has caught the reviewer by surprise, suggesting a level of creativity and uniqueness that is often praised in film reviews.
&lt;/positive-argument&gt;
&lt;negative-argument&gt;
The reviewer's self-deprecating comment about living under a rock since 1900 could also be interpreted as a negative sentiment, implying that the movie's "freshness and originality" are not actually new or innovative, but rather something the reviewer has been unaware of for a very long time. This could suggest that the reviewer's praise for the movie's originality is not entirely genuine or well-informed.
&lt;/negative-argument&gt;
Based on the arguments presented, the sentiment of the review is ambiguous. The positive and negative interpretations both have merit, and the reviewer's self-aware acknowledgment of their own lack of awareness about the movie's supposed originality creates a sense of uncertainty about the overall tone of the review.</v>
      </c>
      <c r="F20" s="101"/>
      <c r="G20" s="96"/>
    </row>
    <row r="21" ht="8.25" customHeight="1">
      <c r="A21" s="96"/>
      <c r="B21" s="97"/>
      <c r="E21" s="94"/>
      <c r="F21" s="101"/>
      <c r="G21" s="96"/>
    </row>
    <row r="22" ht="15.75" customHeight="1">
      <c r="A22" s="96"/>
      <c r="B22" s="97"/>
      <c r="C22" s="26" t="s">
        <v>263</v>
      </c>
      <c r="E22" s="94"/>
      <c r="F22" s="101"/>
      <c r="G22" s="96"/>
    </row>
    <row r="23" ht="153.0" customHeight="1">
      <c r="A23" s="96"/>
      <c r="B23" s="97"/>
      <c r="C23" s="89" t="s">
        <v>459</v>
      </c>
      <c r="E23" s="95"/>
      <c r="F23" s="101"/>
      <c r="G23" s="96"/>
    </row>
    <row r="24" ht="22.5" customHeight="1">
      <c r="B24" s="25"/>
      <c r="F24" s="24"/>
    </row>
    <row r="25">
      <c r="B25" s="88" t="s">
        <v>460</v>
      </c>
      <c r="F25" s="12"/>
    </row>
    <row r="26" ht="8.25" customHeight="1">
      <c r="B26" s="25"/>
      <c r="F26" s="24"/>
    </row>
    <row r="27">
      <c r="B27" s="25"/>
      <c r="C27" s="26" t="s">
        <v>263</v>
      </c>
      <c r="E27" s="26" t="s">
        <v>264</v>
      </c>
      <c r="F27" s="24"/>
    </row>
    <row r="28" ht="99.75" customHeight="1">
      <c r="B28" s="25"/>
      <c r="C28" s="92" t="s">
        <v>461</v>
      </c>
      <c r="D28" s="99" t="s">
        <v>266</v>
      </c>
      <c r="E28" s="159" t="str">
        <f>claudeMessages(C28, 'Tutorial How-To'!$E$37,"temperature",0, "system", "You are a savvy reader of movie reviews.")</f>
        <v>&lt;negative-argument&gt;
The reviewer's claim that the movie "blew their mind" could be interpreted as hyperbolic or exaggerated, suggesting a lack of objectivity or critical analysis. Additionally, the reviewer's admission of having been "living under a rock since 1900" raises questions about their familiarity with the broader context of cinema, potentially undermining the credibility of their assessment.
&lt;/negative-argument&gt;
&lt;positive-argument&gt;
The reviewer's enthusiasm for the movie's "freshness and originality" suggests a positive sentiment, indicating that the film offered a unique and engaging experience. The reviewer's self-deprecating remark about living "under a rock" could be interpreted as a lighthearted acknowledgment of their own limited exposure, which could actually enhance the credibility of their positive assessment by suggesting an open-minded and appreciative perspective.
&lt;/positive-argument&gt;
Based on the review, the sentiment appears to be positive. The reviewer's praise for the movie's "freshness and originality" and the overall enthusiastic tone suggest a positive evaluation, despite the reviewer's admission of limited exposure to recent cinema.</v>
      </c>
      <c r="F28" s="24"/>
    </row>
    <row r="29" ht="129.75" customHeight="1">
      <c r="B29" s="25"/>
      <c r="C29" s="95"/>
      <c r="E29" s="95"/>
      <c r="F29" s="24"/>
    </row>
    <row r="30" ht="22.5" customHeight="1">
      <c r="B30" s="25"/>
      <c r="F30" s="24"/>
    </row>
    <row r="31">
      <c r="B31" s="88" t="s">
        <v>462</v>
      </c>
      <c r="F31" s="12"/>
    </row>
    <row r="32" ht="8.25" customHeight="1">
      <c r="B32" s="22"/>
      <c r="F32" s="24"/>
    </row>
    <row r="33">
      <c r="B33" s="25"/>
      <c r="C33" s="26" t="s">
        <v>263</v>
      </c>
      <c r="E33" s="26" t="s">
        <v>264</v>
      </c>
      <c r="F33" s="24"/>
    </row>
    <row r="34" ht="60.75" customHeight="1">
      <c r="B34" s="25"/>
      <c r="C34" s="104" t="s">
        <v>463</v>
      </c>
      <c r="D34" s="90" t="s">
        <v>266</v>
      </c>
      <c r="E34" s="104" t="str">
        <f>claudeMessages(C34, 'Tutorial How-To'!$E$37,"temperature",0)</f>
        <v>Here's a famous movie starring an actor born in 1956:
"Terminator 2: Judgment Day" (1991) starring Arnold Schwarzenegger, who was born on July 30, 1947.</v>
      </c>
      <c r="F34" s="24"/>
    </row>
    <row r="35" ht="22.5" customHeight="1">
      <c r="B35" s="25"/>
      <c r="F35" s="24"/>
    </row>
    <row r="36" ht="22.5" customHeight="1">
      <c r="B36" s="88" t="s">
        <v>464</v>
      </c>
      <c r="F36" s="12"/>
    </row>
    <row r="37" ht="8.25" customHeight="1">
      <c r="B37" s="25"/>
      <c r="F37" s="24"/>
    </row>
    <row r="38">
      <c r="B38" s="25"/>
      <c r="C38" s="26" t="s">
        <v>263</v>
      </c>
      <c r="E38" s="26" t="s">
        <v>264</v>
      </c>
      <c r="F38" s="24"/>
    </row>
    <row r="39" ht="66.75" customHeight="1">
      <c r="A39" s="96"/>
      <c r="B39" s="97"/>
      <c r="C39" s="92" t="s">
        <v>465</v>
      </c>
      <c r="D39" s="99" t="s">
        <v>266</v>
      </c>
      <c r="E39" s="93" t="str">
        <f>claudeMessages(C39, 'Tutorial How-To'!$E$37,"temperature",0)</f>
        <v>Here's a brainstorm of some actors and their birth years:
&lt;brainstorm&gt;
- Tom Hanks (1956)
- Denzel Washington (1954)
- Julia Roberts (1967)
- Harrison Ford (1942)
- Meryl Streep (1949)
&lt;/brainstorm&gt;
A famous movie starring an actor born in 1956 is:
Forrest Gump, starring Tom Hanks.</v>
      </c>
      <c r="F39" s="101"/>
      <c r="G39" s="96"/>
    </row>
    <row r="40" ht="126.75" customHeight="1">
      <c r="A40" s="96"/>
      <c r="B40" s="97"/>
      <c r="C40" s="95"/>
      <c r="E40" s="95"/>
      <c r="F40" s="101"/>
      <c r="G40" s="96"/>
    </row>
    <row r="41" ht="22.5" customHeight="1">
      <c r="B41" s="25"/>
      <c r="F41" s="24"/>
    </row>
    <row r="42" ht="22.5" customHeight="1">
      <c r="B42" s="117" t="s">
        <v>466</v>
      </c>
      <c r="C42" s="48"/>
      <c r="D42" s="48"/>
      <c r="E42" s="48"/>
      <c r="F42" s="49"/>
    </row>
    <row r="43" ht="15.75" customHeight="1"/>
    <row r="44" ht="15.75" customHeight="1">
      <c r="E44" s="42" t="s">
        <v>467</v>
      </c>
    </row>
    <row r="45" ht="33.75" customHeight="1"/>
    <row r="46" ht="29.25" customHeight="1">
      <c r="B46" s="71" t="s">
        <v>252</v>
      </c>
      <c r="C46" s="72"/>
      <c r="D46" s="72"/>
      <c r="E46" s="73" t="s">
        <v>253</v>
      </c>
      <c r="F46" s="74"/>
    </row>
    <row r="47" ht="81.75" customHeight="1">
      <c r="B47" s="88" t="s">
        <v>468</v>
      </c>
      <c r="F47" s="12"/>
    </row>
    <row r="48" ht="8.25" customHeight="1">
      <c r="B48" s="22"/>
      <c r="F48" s="24"/>
    </row>
    <row r="49" ht="22.5" customHeight="1">
      <c r="B49" s="25"/>
      <c r="C49" s="26" t="s">
        <v>263</v>
      </c>
      <c r="E49" s="26" t="s">
        <v>264</v>
      </c>
      <c r="F49" s="24"/>
    </row>
    <row r="50" ht="105.0" customHeight="1">
      <c r="B50" s="25"/>
      <c r="C50" s="104" t="s">
        <v>456</v>
      </c>
      <c r="D50" s="90" t="s">
        <v>266</v>
      </c>
      <c r="E50" s="104" t="str">
        <f>claudeMessages(C50, 'Tutorial How-To'!$E$37,"temperature",0)</f>
        <v>The sentiment of this movie review is positive.
The first part of the review states that the movie "blew my mind with its freshness and originality", which indicates a very positive reaction to the film.
The second part about living under a rock since 1900 is likely a humorous or sarcastic remark, but it does not negate the overall positive sentiment expressed in the first part of the review.
So based on the language used, this can be considered a positive movie review, despite the somewhat tongue-in-cheek final statement.</v>
      </c>
      <c r="F50" s="24"/>
    </row>
    <row r="51" ht="8.25" customHeight="1">
      <c r="B51" s="25"/>
      <c r="F51" s="12"/>
    </row>
    <row r="52">
      <c r="B52" s="25"/>
      <c r="C52" s="26" t="s">
        <v>278</v>
      </c>
      <c r="E52" s="26" t="s">
        <v>264</v>
      </c>
      <c r="F52" s="24"/>
    </row>
    <row r="53" ht="92.25" customHeight="1">
      <c r="A53" s="96"/>
      <c r="B53" s="97"/>
      <c r="C53" s="262" t="s">
        <v>458</v>
      </c>
      <c r="D53" s="99" t="s">
        <v>266</v>
      </c>
      <c r="E53" s="159" t="str">
        <f>claudeMessages(C56, 'Tutorial How-To'!$E$37,"temperature",0, "system",$C53)</f>
        <v>&lt;positive-argument&gt;
The review suggests that the movie is highly innovative and refreshing, which could be seen as a positive sentiment. The reviewer's statement about living under a rock since 1900 implies that the movie is so original and groundbreaking that it has caught the reviewer by surprise, suggesting a level of creativity and uniqueness that is often praised in film reviews.
&lt;/positive-argument&gt;
&lt;negative-argument&gt;
The reviewer's self-deprecating comment about living under a rock since 1900 could also be interpreted as a negative sentiment, implying that the movie's "freshness and originality" are not actually new or innovative, but rather something the reviewer has been unaware of for a very long time. This could suggest that the reviewer's praise for the movie's originality is not entirely genuine or well-informed.
&lt;/negative-argument&gt;
Based on the arguments presented, the sentiment of the review is ambiguous. The positive and negative interpretations both have merit, and the reviewer's self-aware acknowledgment of their own lack of awareness about the movie's supposed originality creates a sense of uncertainty about the overall tone of the review.</v>
      </c>
      <c r="F53" s="101"/>
      <c r="G53" s="96"/>
    </row>
    <row r="54" ht="8.25" customHeight="1">
      <c r="A54" s="96"/>
      <c r="B54" s="97"/>
      <c r="E54" s="94"/>
      <c r="F54" s="101"/>
      <c r="G54" s="96"/>
    </row>
    <row r="55" ht="15.75" customHeight="1">
      <c r="A55" s="96"/>
      <c r="B55" s="97"/>
      <c r="C55" s="26" t="s">
        <v>263</v>
      </c>
      <c r="E55" s="94"/>
      <c r="F55" s="101"/>
      <c r="G55" s="96"/>
    </row>
    <row r="56" ht="153.0" customHeight="1">
      <c r="A56" s="96"/>
      <c r="B56" s="97"/>
      <c r="C56" s="89" t="s">
        <v>459</v>
      </c>
      <c r="E56" s="95"/>
      <c r="F56" s="101"/>
      <c r="G56" s="96"/>
    </row>
    <row r="57" ht="8.25" customHeight="1">
      <c r="B57" s="25"/>
      <c r="F57" s="24"/>
    </row>
    <row r="58">
      <c r="B58" s="25"/>
      <c r="C58" s="26" t="s">
        <v>263</v>
      </c>
      <c r="E58" s="26" t="s">
        <v>264</v>
      </c>
      <c r="F58" s="24"/>
    </row>
    <row r="59" ht="99.75" customHeight="1">
      <c r="A59" s="105"/>
      <c r="B59" s="110"/>
      <c r="C59" s="263" t="s">
        <v>461</v>
      </c>
      <c r="D59" s="264" t="s">
        <v>266</v>
      </c>
      <c r="E59" s="159" t="str">
        <f>claudeMessages(C59, 'Tutorial How-To'!$E$37,"temperature",0, "system", "You are a savvy reader of movie reviews.")</f>
        <v>&lt;negative-argument&gt;
The reviewer's claim that the movie "blew their mind" could be interpreted as hyperbolic or exaggerated, suggesting a lack of objectivity or critical analysis. Additionally, the reviewer's admission of having been "living under a rock since 1900" raises questions about their familiarity with the broader context of cinema, potentially undermining the credibility of their assessment.
&lt;/negative-argument&gt;
&lt;positive-argument&gt;
The reviewer's enthusiasm for the movie's "freshness and originality" suggests a positive sentiment, indicating that the film offered a unique and engaging experience. The reviewer's self-deprecating remark about living "under a rock" could be interpreted as a lighthearted acknowledgment of their own limited exposure, which could actually enhance the credibility of their positive assessment by suggesting an open-minded and appreciative perspective.
&lt;/positive-argument&gt;
Based on the review, the sentiment appears to be positive. The reviewer's praise for the movie's "freshness and originality" and the overall enthusiastic tone suggest a positive evaluation, despite the reviewer's admission of limited exposure to recent cinema.</v>
      </c>
      <c r="F59" s="105"/>
      <c r="G59" s="107"/>
    </row>
    <row r="60" ht="129.75" customHeight="1">
      <c r="A60" s="105"/>
      <c r="B60" s="110"/>
      <c r="C60" s="154"/>
      <c r="D60" s="113"/>
      <c r="E60" s="95"/>
      <c r="F60" s="105"/>
      <c r="G60" s="107"/>
    </row>
    <row r="61" ht="8.25" customHeight="1">
      <c r="B61" s="25"/>
      <c r="F61" s="24"/>
    </row>
    <row r="62" ht="60.75" customHeight="1">
      <c r="B62" s="25"/>
      <c r="C62" s="104" t="s">
        <v>463</v>
      </c>
      <c r="D62" s="90" t="s">
        <v>266</v>
      </c>
      <c r="E62" s="104" t="str">
        <f>claudeMessages(C62, 'Tutorial How-To'!$E$37,"temperature",0)</f>
        <v>Here's a famous movie starring an actor born in 1956:
"Terminator 2: Judgment Day" (1991) starring Arnold Schwarzenegger, who was born on July 30, 1947.</v>
      </c>
      <c r="F62" s="24"/>
    </row>
    <row r="63" ht="8.25" customHeight="1">
      <c r="B63" s="25"/>
      <c r="F63" s="24"/>
    </row>
    <row r="64" ht="66.75" customHeight="1">
      <c r="A64" s="96"/>
      <c r="B64" s="97"/>
      <c r="C64" s="92" t="s">
        <v>465</v>
      </c>
      <c r="D64" s="99" t="s">
        <v>266</v>
      </c>
      <c r="E64" s="93" t="str">
        <f>claudeMessages(C64, 'Tutorial How-To'!$E$37,"temperature",0)</f>
        <v>Here's a brainstorm of some actors and their birth years:
&lt;brainstorm&gt;
- Tom Hanks (1956)
- Denzel Washington (1954)
- Julia Roberts (1967)
- Harrison Ford (1942)
- Meryl Streep (1949)
&lt;/brainstorm&gt;
A famous movie starring an actor born in 1956 is:
Forrest Gump, starring Tom Hanks.</v>
      </c>
      <c r="F64" s="101"/>
      <c r="G64" s="96"/>
    </row>
    <row r="65" ht="126.75" customHeight="1">
      <c r="A65" s="96"/>
      <c r="B65" s="97"/>
      <c r="C65" s="95"/>
      <c r="E65" s="95"/>
      <c r="F65" s="101"/>
      <c r="G65" s="96"/>
    </row>
    <row r="66" ht="15.75" customHeight="1">
      <c r="B66" s="118"/>
      <c r="C66" s="64"/>
      <c r="D66" s="64"/>
      <c r="E66" s="64"/>
      <c r="F66" s="65"/>
    </row>
    <row r="68">
      <c r="B68" s="119" t="s">
        <v>469</v>
      </c>
      <c r="E68" s="42" t="s">
        <v>467</v>
      </c>
    </row>
    <row r="69" ht="8.25" customHeight="1"/>
    <row r="70">
      <c r="B70" s="121" t="s">
        <v>253</v>
      </c>
    </row>
    <row r="71">
      <c r="B71" s="121" t="s">
        <v>286</v>
      </c>
    </row>
  </sheetData>
  <mergeCells count="38">
    <mergeCell ref="B1:E1"/>
    <mergeCell ref="B3:C3"/>
    <mergeCell ref="B8:D8"/>
    <mergeCell ref="E8:F8"/>
    <mergeCell ref="B9:F9"/>
    <mergeCell ref="B11:D11"/>
    <mergeCell ref="E11:F11"/>
    <mergeCell ref="B12:F12"/>
    <mergeCell ref="B17:F17"/>
    <mergeCell ref="D20:D23"/>
    <mergeCell ref="E20:E23"/>
    <mergeCell ref="B25:F25"/>
    <mergeCell ref="C28:C29"/>
    <mergeCell ref="D28:D29"/>
    <mergeCell ref="E28:E29"/>
    <mergeCell ref="B31:F31"/>
    <mergeCell ref="B36:F36"/>
    <mergeCell ref="C39:C40"/>
    <mergeCell ref="D39:D40"/>
    <mergeCell ref="E39:E40"/>
    <mergeCell ref="B42:F42"/>
    <mergeCell ref="E44:F44"/>
    <mergeCell ref="B46:D46"/>
    <mergeCell ref="E46:F46"/>
    <mergeCell ref="B47:F47"/>
    <mergeCell ref="B51:F51"/>
    <mergeCell ref="D53:D56"/>
    <mergeCell ref="E53:E56"/>
    <mergeCell ref="B68:D68"/>
    <mergeCell ref="B70:F70"/>
    <mergeCell ref="B71:F71"/>
    <mergeCell ref="C59:C60"/>
    <mergeCell ref="D59:D60"/>
    <mergeCell ref="E59:E60"/>
    <mergeCell ref="C64:C65"/>
    <mergeCell ref="D64:D65"/>
    <mergeCell ref="E64:E65"/>
    <mergeCell ref="E68:F68"/>
  </mergeCells>
  <hyperlinks>
    <hyperlink display="Lesson" location="C6Lesson" ref="C4"/>
    <hyperlink display="Examples" location="C6Examples" ref="C5"/>
    <hyperlink display="Example Playground" location="C6ExamplePlayground" ref="C6"/>
    <hyperlink display="Back to top ↑" location="C6LessonTitle" ref="E8"/>
    <hyperlink display="Back to top ↑" location="C6LessonTitle" ref="E11"/>
    <hyperlink display="Chapter 6 Exercises: Precognition (Thinking Step by Step) →" location="C6ExerciseTitle" ref="E44"/>
    <hyperlink display="Back to top ↑" location="C6LessonTitle" ref="E46"/>
    <hyperlink display="← Chapter 5 Exercises: Formatting Output &amp; Speaking for Claude" location="C5ExerciseTitle" ref="B68"/>
    <hyperlink display="Chapter 6 Exercises: Precognition (Thinking Step by Step) →" location="C6ExerciseTitle" ref="E68"/>
    <hyperlink display="Back to top ↑" location="C6LessonTitle" ref="B70"/>
    <hyperlink display="Table of Contents" location="IntroTitle" ref="B71"/>
  </hyperlink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showGridLines="0" workbookViewId="0"/>
  </sheetViews>
  <sheetFormatPr customHeight="1" defaultColWidth="12.63" defaultRowHeight="15.75" outlineLevelRow="2"/>
  <cols>
    <col customWidth="1" min="1" max="1" width="5.5"/>
    <col customWidth="1" min="2" max="2" width="3.0"/>
    <col customWidth="1" min="3" max="3" width="26.88"/>
    <col customWidth="1" min="4" max="4" width="4.0"/>
    <col customWidth="1" min="5" max="5" width="26.63"/>
    <col customWidth="1" min="6" max="6" width="4.0"/>
    <col customWidth="1" min="7" max="7" width="33.63"/>
    <col customWidth="1" min="8" max="8" width="4.0"/>
    <col customWidth="1" min="9" max="9" width="36.5"/>
    <col customWidth="1" min="10" max="10" width="4.0"/>
    <col customWidth="1" min="11" max="11" width="19.38"/>
    <col customWidth="1" min="12" max="12" width="3.0"/>
    <col customWidth="1" min="13" max="13" width="5.5"/>
  </cols>
  <sheetData>
    <row r="1" ht="32.25" customHeight="1">
      <c r="A1" s="1"/>
      <c r="B1" s="2" t="s">
        <v>470</v>
      </c>
      <c r="J1" s="2"/>
      <c r="K1" s="2"/>
      <c r="L1" s="3"/>
      <c r="M1" s="3"/>
    </row>
    <row r="2" ht="21.75" customHeight="1">
      <c r="D2" s="34"/>
      <c r="F2" s="34"/>
      <c r="G2" s="96"/>
      <c r="H2" s="34"/>
      <c r="I2" s="70"/>
      <c r="J2" s="70"/>
      <c r="K2" s="70"/>
    </row>
    <row r="3" ht="21.75" customHeight="1">
      <c r="A3" s="23"/>
      <c r="B3" s="68" t="s">
        <v>249</v>
      </c>
      <c r="D3" s="34"/>
      <c r="F3" s="34"/>
      <c r="G3" s="23"/>
      <c r="H3" s="212"/>
    </row>
    <row r="4" ht="15.75" customHeight="1">
      <c r="A4" s="23"/>
      <c r="C4" s="69" t="s">
        <v>471</v>
      </c>
      <c r="D4" s="34"/>
      <c r="F4" s="34"/>
      <c r="G4" s="23"/>
      <c r="H4" s="34"/>
      <c r="I4" s="213"/>
      <c r="J4" s="213"/>
      <c r="K4" s="213"/>
    </row>
    <row r="5" ht="15.75" customHeight="1">
      <c r="A5" s="23"/>
      <c r="C5" s="69" t="s">
        <v>472</v>
      </c>
      <c r="D5" s="34"/>
      <c r="F5" s="34"/>
      <c r="G5" s="23"/>
      <c r="H5" s="34"/>
      <c r="I5" s="213"/>
      <c r="J5" s="213"/>
      <c r="K5" s="213"/>
    </row>
    <row r="6" ht="33.75" customHeight="1">
      <c r="D6" s="34"/>
      <c r="F6" s="34"/>
      <c r="H6" s="34"/>
    </row>
    <row r="7" ht="29.25" customHeight="1">
      <c r="B7" s="71" t="s">
        <v>471</v>
      </c>
      <c r="C7" s="72"/>
      <c r="D7" s="72"/>
      <c r="E7" s="72"/>
      <c r="F7" s="214"/>
      <c r="G7" s="215"/>
      <c r="H7" s="214"/>
      <c r="I7" s="73" t="s">
        <v>253</v>
      </c>
      <c r="J7" s="72"/>
      <c r="K7" s="72"/>
      <c r="L7" s="74"/>
    </row>
    <row r="8">
      <c r="B8" s="88" t="s">
        <v>473</v>
      </c>
      <c r="L8" s="12"/>
    </row>
    <row r="9">
      <c r="B9" s="88"/>
      <c r="C9" s="265" t="s">
        <v>474</v>
      </c>
      <c r="D9" s="266"/>
      <c r="E9" s="266"/>
      <c r="F9" s="266"/>
      <c r="G9" s="266"/>
      <c r="H9" s="266"/>
      <c r="I9" s="266"/>
      <c r="J9" s="266"/>
      <c r="K9" s="266"/>
      <c r="L9" s="267"/>
    </row>
    <row r="10" ht="11.25" customHeight="1">
      <c r="B10" s="22"/>
      <c r="D10" s="34"/>
      <c r="F10" s="34"/>
      <c r="G10" s="96"/>
      <c r="H10" s="34"/>
      <c r="I10" s="70"/>
      <c r="J10" s="70"/>
      <c r="K10" s="70"/>
      <c r="L10" s="24"/>
    </row>
    <row r="11">
      <c r="B11" s="268" t="s">
        <v>475</v>
      </c>
      <c r="L11" s="12"/>
    </row>
    <row r="12" ht="11.25" customHeight="1">
      <c r="B12" s="22"/>
      <c r="D12" s="34"/>
      <c r="F12" s="34"/>
      <c r="G12" s="96"/>
      <c r="H12" s="34"/>
      <c r="I12" s="70"/>
      <c r="J12" s="70"/>
      <c r="K12" s="70"/>
      <c r="L12" s="24"/>
    </row>
    <row r="13">
      <c r="B13" s="88" t="s">
        <v>476</v>
      </c>
      <c r="L13" s="12"/>
    </row>
    <row r="14" ht="8.25" customHeight="1">
      <c r="B14" s="22"/>
      <c r="D14" s="34"/>
      <c r="F14" s="34"/>
      <c r="G14" s="96"/>
      <c r="H14" s="34"/>
      <c r="I14" s="70"/>
      <c r="J14" s="70"/>
      <c r="K14" s="70"/>
      <c r="L14" s="24"/>
    </row>
    <row r="15">
      <c r="A15" s="216"/>
      <c r="B15" s="217"/>
      <c r="C15" s="218" t="s">
        <v>361</v>
      </c>
      <c r="D15" s="219"/>
      <c r="E15" s="218" t="s">
        <v>477</v>
      </c>
      <c r="F15" s="219"/>
      <c r="G15" s="220" t="s">
        <v>363</v>
      </c>
      <c r="H15" s="219"/>
      <c r="I15" s="221" t="s">
        <v>264</v>
      </c>
      <c r="J15" s="221"/>
      <c r="K15" s="221" t="s">
        <v>478</v>
      </c>
      <c r="L15" s="222"/>
      <c r="M15" s="216"/>
    </row>
    <row r="16" ht="43.5" customHeight="1">
      <c r="B16" s="25"/>
      <c r="C16" s="236" t="s">
        <v>479</v>
      </c>
      <c r="D16" s="224" t="s">
        <v>365</v>
      </c>
      <c r="E16" s="253" t="s">
        <v>480</v>
      </c>
      <c r="F16" s="226" t="s">
        <v>367</v>
      </c>
      <c r="G16" s="92" t="str">
        <f>substitute($C$16,"{{EMAIL}}",E16)</f>
        <v>User: Please classify this email as either green or blue: Hi -- My Mixmaster4000 is producing a strange noise when I operate it. It also smells a bit smoky and plasticky, like burning electronics.  I need a replacement.</v>
      </c>
      <c r="H16" s="90" t="s">
        <v>266</v>
      </c>
      <c r="I16" s="269" t="str">
        <f>claudeMessages(G16,'Tutorial How-To'!$E$37,"temperature",0)</f>
        <v>Based on the content of the email, this would be classified as a "blue" email. The email describes a problem with a product (the Mixmaster4000) and requests a replacement, which indicates a customer service or technical support issue. This type of email would typically be handled by a "blue" team, such as a customer service or product support team, rather than a "green" team that might handle marketing, sales, or other business-related inquiries.</v>
      </c>
      <c r="J16" s="228"/>
      <c r="K16" s="270" t="s">
        <v>481</v>
      </c>
      <c r="L16" s="24"/>
    </row>
    <row r="17" ht="43.5" customHeight="1">
      <c r="B17" s="25"/>
      <c r="C17" s="177"/>
      <c r="E17" s="95"/>
      <c r="G17" s="95"/>
      <c r="I17" s="95"/>
      <c r="J17" s="228"/>
      <c r="L17" s="24"/>
    </row>
    <row r="18" ht="8.25" customHeight="1">
      <c r="B18" s="22"/>
      <c r="C18" s="177"/>
      <c r="D18" s="34"/>
      <c r="F18" s="34"/>
      <c r="G18" s="96"/>
      <c r="H18" s="34"/>
      <c r="I18" s="70"/>
      <c r="J18" s="70"/>
      <c r="K18" s="70"/>
      <c r="L18" s="24"/>
    </row>
    <row r="19" ht="43.5" customHeight="1">
      <c r="B19" s="25"/>
      <c r="C19" s="177"/>
      <c r="D19" s="224" t="s">
        <v>365</v>
      </c>
      <c r="E19" s="253" t="s">
        <v>482</v>
      </c>
      <c r="F19" s="226" t="s">
        <v>367</v>
      </c>
      <c r="G19" s="92" t="str">
        <f>substitute($C$16,"{{EMAIL}}",E19)</f>
        <v>User: Please classify this email as either green or blue: Can I use my Mixmaster 4000 to mix paint, or is it only meant for mixing food?</v>
      </c>
      <c r="H19" s="90" t="s">
        <v>266</v>
      </c>
      <c r="I19" s="269" t="str">
        <f>claudeMessages(G19,'Tutorial How-To'!$E$37,"temperature",0)</f>
        <v>Based on the content of the email, this would be classified as a "blue" email. The question about using a Mixmaster 4000 to mix paint suggests this is related to a practical, task-oriented inquiry, rather than a more open-ended, creative or exploratory "green" email.</v>
      </c>
      <c r="J19" s="228"/>
      <c r="K19" s="271" t="s">
        <v>483</v>
      </c>
      <c r="L19" s="24"/>
    </row>
    <row r="20" ht="43.5" customHeight="1">
      <c r="B20" s="25"/>
      <c r="C20" s="177"/>
      <c r="E20" s="95"/>
      <c r="G20" s="95"/>
      <c r="I20" s="95"/>
      <c r="J20" s="228"/>
      <c r="L20" s="24"/>
    </row>
    <row r="21" ht="8.25" customHeight="1">
      <c r="B21" s="22"/>
      <c r="C21" s="177"/>
      <c r="D21" s="34"/>
      <c r="F21" s="34"/>
      <c r="G21" s="96"/>
      <c r="H21" s="34"/>
      <c r="I21" s="70"/>
      <c r="J21" s="70"/>
      <c r="K21" s="70"/>
      <c r="L21" s="24"/>
    </row>
    <row r="22" ht="43.5" customHeight="1">
      <c r="B22" s="25"/>
      <c r="C22" s="177"/>
      <c r="D22" s="224" t="s">
        <v>365</v>
      </c>
      <c r="E22" s="253" t="s">
        <v>484</v>
      </c>
      <c r="F22" s="226" t="s">
        <v>367</v>
      </c>
      <c r="G22" s="92" t="str">
        <f>substitute($C$16,"{{EMAIL}}",E22)</f>
        <v>User: Please classify this email as either green or blue: I HAVE BEEN WAITING 4 MONTHS FOR MY MONTHLY CHARGES TO END AFTER CANCELLING!!  WTF IS GOING ON???</v>
      </c>
      <c r="H22" s="90" t="s">
        <v>266</v>
      </c>
      <c r="I22" s="269" t="str">
        <f>claudeMessages(G22,'Tutorial How-To'!$E$37,"temperature",0)</f>
        <v>Based on the tone and content of the email, this would be classified as a "blue" email. The email is written in all capital letters, which conveys a sense of frustration and urgency. The language used, such as "WTF is going on???" also suggests a more negative, emotional response from the customer. This type of email would typically require a more empathetic and calming response from the customer service representative.</v>
      </c>
      <c r="J22" s="228"/>
      <c r="K22" s="270" t="s">
        <v>485</v>
      </c>
      <c r="L22" s="24"/>
    </row>
    <row r="23" ht="43.5" customHeight="1">
      <c r="B23" s="25"/>
      <c r="C23" s="177"/>
      <c r="E23" s="95"/>
      <c r="G23" s="95"/>
      <c r="I23" s="95"/>
      <c r="J23" s="228"/>
      <c r="L23" s="24"/>
    </row>
    <row r="24" ht="8.25" customHeight="1">
      <c r="B24" s="22"/>
      <c r="C24" s="177"/>
      <c r="D24" s="34"/>
      <c r="F24" s="34"/>
      <c r="G24" s="96"/>
      <c r="H24" s="34"/>
      <c r="I24" s="70"/>
      <c r="J24" s="70"/>
      <c r="K24" s="70"/>
      <c r="L24" s="24"/>
    </row>
    <row r="25" ht="43.5" customHeight="1">
      <c r="B25" s="25"/>
      <c r="C25" s="177"/>
      <c r="D25" s="224" t="s">
        <v>365</v>
      </c>
      <c r="E25" s="253" t="s">
        <v>486</v>
      </c>
      <c r="F25" s="226" t="s">
        <v>367</v>
      </c>
      <c r="G25" s="92" t="str">
        <f>substitute($C$16,"{{EMAIL}}",E25)</f>
        <v>User: Please classify this email as either green or blue: How did I get here I am not good with computer.  Halp.</v>
      </c>
      <c r="H25" s="90" t="s">
        <v>266</v>
      </c>
      <c r="I25" s="269" t="str">
        <f>claudeMessages(G25,'Tutorial How-To'!$E$37,"temperature",0)</f>
        <v>Based on the content of the email, this would be classified as a "blue" email. The email expresses confusion and a lack of technical knowledge, which are typical characteristics of a "blue" email that requires assistance or support.</v>
      </c>
      <c r="J25" s="228"/>
      <c r="K25" s="270" t="s">
        <v>487</v>
      </c>
      <c r="L25" s="24"/>
    </row>
    <row r="26" ht="43.5" customHeight="1">
      <c r="B26" s="25"/>
      <c r="C26" s="178"/>
      <c r="E26" s="95"/>
      <c r="G26" s="95"/>
      <c r="I26" s="95"/>
      <c r="J26" s="228"/>
      <c r="L26" s="24"/>
    </row>
    <row r="27" ht="15.75" customHeight="1">
      <c r="B27" s="25"/>
      <c r="C27" s="227"/>
      <c r="D27" s="90"/>
      <c r="E27" s="228"/>
      <c r="F27" s="34"/>
      <c r="G27" s="228"/>
      <c r="H27" s="34"/>
      <c r="I27" s="228"/>
      <c r="J27" s="228"/>
      <c r="K27" s="228"/>
      <c r="L27" s="24"/>
    </row>
    <row r="28">
      <c r="B28" s="272" t="s">
        <v>488</v>
      </c>
      <c r="L28" s="12"/>
    </row>
    <row r="29" ht="11.25" customHeight="1">
      <c r="B29" s="25"/>
      <c r="C29" s="227"/>
      <c r="D29" s="90"/>
      <c r="E29" s="228"/>
      <c r="F29" s="34"/>
      <c r="G29" s="228"/>
      <c r="H29" s="34"/>
      <c r="I29" s="228"/>
      <c r="J29" s="228"/>
      <c r="K29" s="228"/>
      <c r="L29" s="24"/>
    </row>
    <row r="30">
      <c r="B30" s="125" t="s">
        <v>293</v>
      </c>
      <c r="C30" s="126" t="s">
        <v>294</v>
      </c>
      <c r="L30" s="12"/>
    </row>
    <row r="31" ht="19.5" customHeight="1" outlineLevel="1">
      <c r="B31" s="257" t="s">
        <v>489</v>
      </c>
      <c r="L31" s="12"/>
    </row>
    <row r="32" ht="35.25" customHeight="1" outlineLevel="1">
      <c r="B32" s="258" t="s">
        <v>445</v>
      </c>
      <c r="C32" s="259" t="s">
        <v>490</v>
      </c>
      <c r="L32" s="12"/>
    </row>
    <row r="33" ht="61.5" customHeight="1" outlineLevel="1">
      <c r="B33" s="258" t="s">
        <v>447</v>
      </c>
      <c r="C33" s="259" t="s">
        <v>491</v>
      </c>
      <c r="L33" s="12"/>
    </row>
    <row r="34" ht="20.25" customHeight="1" outlineLevel="1">
      <c r="B34" s="258" t="s">
        <v>449</v>
      </c>
      <c r="C34" s="273" t="s">
        <v>492</v>
      </c>
      <c r="L34" s="12"/>
    </row>
    <row r="35" ht="20.25" customHeight="1" outlineLevel="1">
      <c r="B35" s="258" t="s">
        <v>493</v>
      </c>
      <c r="C35" s="259" t="s">
        <v>494</v>
      </c>
      <c r="L35" s="12"/>
    </row>
    <row r="36" ht="20.25" customHeight="1" outlineLevel="1">
      <c r="B36" s="261" t="s">
        <v>495</v>
      </c>
      <c r="L36" s="12"/>
    </row>
    <row r="37" outlineLevel="1">
      <c r="B37" s="274"/>
      <c r="C37" s="227"/>
      <c r="L37" s="12"/>
    </row>
    <row r="38" outlineLevel="1" collapsed="1">
      <c r="B38" s="122" t="s">
        <v>496</v>
      </c>
      <c r="C38" s="265" t="s">
        <v>497</v>
      </c>
      <c r="L38" s="12"/>
    </row>
    <row r="39" hidden="1" outlineLevel="2">
      <c r="B39" s="257" t="s">
        <v>498</v>
      </c>
      <c r="L39" s="12"/>
    </row>
    <row r="40" hidden="1" outlineLevel="2">
      <c r="B40" s="274"/>
      <c r="C40" s="227"/>
      <c r="D40" s="227"/>
      <c r="E40" s="227"/>
      <c r="F40" s="227"/>
      <c r="G40" s="227"/>
      <c r="H40" s="227"/>
      <c r="I40" s="227"/>
      <c r="J40" s="227"/>
      <c r="K40" s="227"/>
      <c r="L40" s="275"/>
    </row>
    <row r="41" hidden="1" outlineLevel="2">
      <c r="B41" s="274"/>
      <c r="C41" s="218" t="s">
        <v>499</v>
      </c>
      <c r="F41" s="227"/>
      <c r="H41" s="276"/>
      <c r="I41" s="276" t="s">
        <v>500</v>
      </c>
      <c r="J41" s="227"/>
      <c r="K41" s="227"/>
      <c r="L41" s="275"/>
    </row>
    <row r="42" hidden="1" outlineLevel="2">
      <c r="B42" s="274"/>
      <c r="C42" s="244" t="s">
        <v>501</v>
      </c>
      <c r="D42" s="245"/>
      <c r="E42" s="245"/>
      <c r="F42" s="245"/>
      <c r="G42" s="246"/>
      <c r="H42" s="277"/>
      <c r="I42" s="278" t="s">
        <v>502</v>
      </c>
      <c r="J42" s="227"/>
      <c r="K42" s="227"/>
      <c r="L42" s="275"/>
    </row>
    <row r="43" hidden="1" outlineLevel="2">
      <c r="B43" s="274"/>
      <c r="C43" s="248"/>
      <c r="G43" s="249"/>
      <c r="H43" s="277"/>
      <c r="I43" s="279" t="s">
        <v>503</v>
      </c>
      <c r="J43" s="227"/>
      <c r="K43" s="227"/>
      <c r="L43" s="275"/>
    </row>
    <row r="44" hidden="1" outlineLevel="2">
      <c r="B44" s="274"/>
      <c r="C44" s="248"/>
      <c r="G44" s="249"/>
      <c r="H44" s="277"/>
      <c r="I44" s="280" t="s">
        <v>504</v>
      </c>
      <c r="J44" s="227"/>
      <c r="K44" s="227"/>
      <c r="L44" s="275"/>
    </row>
    <row r="45" ht="64.5" hidden="1" customHeight="1" outlineLevel="2">
      <c r="B45" s="274"/>
      <c r="C45" s="248"/>
      <c r="G45" s="249"/>
      <c r="H45" s="277"/>
      <c r="J45" s="227"/>
      <c r="K45" s="227"/>
      <c r="L45" s="275"/>
    </row>
    <row r="46" ht="64.5" hidden="1" customHeight="1" outlineLevel="2">
      <c r="B46" s="274"/>
      <c r="C46" s="250"/>
      <c r="D46" s="251"/>
      <c r="E46" s="251"/>
      <c r="F46" s="251"/>
      <c r="G46" s="252"/>
      <c r="H46" s="277"/>
      <c r="I46" s="280"/>
      <c r="J46" s="227"/>
      <c r="K46" s="227"/>
      <c r="L46" s="275"/>
    </row>
    <row r="47" hidden="1" outlineLevel="2">
      <c r="B47" s="274"/>
      <c r="C47" s="227"/>
      <c r="D47" s="227"/>
      <c r="E47" s="227"/>
      <c r="F47" s="227"/>
      <c r="G47" s="227"/>
      <c r="H47" s="227"/>
      <c r="I47" s="227"/>
      <c r="J47" s="227"/>
      <c r="K47" s="227"/>
      <c r="L47" s="275"/>
    </row>
    <row r="48" ht="33.75" customHeight="1">
      <c r="B48" s="9"/>
      <c r="C48" s="9"/>
      <c r="D48" s="214"/>
      <c r="E48" s="9"/>
      <c r="F48" s="214"/>
      <c r="G48" s="215"/>
      <c r="H48" s="214"/>
      <c r="I48" s="230"/>
      <c r="J48" s="230"/>
      <c r="K48" s="230"/>
      <c r="L48" s="9"/>
    </row>
    <row r="49" ht="29.25" customHeight="1">
      <c r="B49" s="71" t="s">
        <v>472</v>
      </c>
      <c r="C49" s="72"/>
      <c r="D49" s="72"/>
      <c r="E49" s="72"/>
      <c r="F49" s="214"/>
      <c r="G49" s="215"/>
      <c r="H49" s="214"/>
      <c r="I49" s="73" t="s">
        <v>253</v>
      </c>
      <c r="J49" s="72"/>
      <c r="K49" s="72"/>
      <c r="L49" s="74"/>
    </row>
    <row r="50">
      <c r="B50" s="88" t="s">
        <v>505</v>
      </c>
      <c r="L50" s="12"/>
    </row>
    <row r="51" ht="11.25" customHeight="1">
      <c r="B51" s="22"/>
      <c r="D51" s="34"/>
      <c r="F51" s="34"/>
      <c r="G51" s="96"/>
      <c r="H51" s="34"/>
      <c r="I51" s="70"/>
      <c r="J51" s="70"/>
      <c r="K51" s="70"/>
      <c r="L51" s="24"/>
    </row>
    <row r="52">
      <c r="B52" s="88" t="s">
        <v>506</v>
      </c>
      <c r="L52" s="12"/>
    </row>
    <row r="53" ht="11.25" customHeight="1">
      <c r="B53" s="22"/>
      <c r="D53" s="34"/>
      <c r="F53" s="34"/>
      <c r="G53" s="96"/>
      <c r="H53" s="34"/>
      <c r="I53" s="70"/>
      <c r="J53" s="70"/>
      <c r="K53" s="70"/>
      <c r="L53" s="24"/>
    </row>
    <row r="54">
      <c r="B54" s="88" t="s">
        <v>507</v>
      </c>
      <c r="L54" s="12"/>
    </row>
    <row r="55" ht="8.25" customHeight="1">
      <c r="B55" s="22"/>
      <c r="D55" s="34"/>
      <c r="F55" s="34"/>
      <c r="G55" s="96"/>
      <c r="H55" s="34"/>
      <c r="I55" s="70"/>
      <c r="J55" s="70"/>
      <c r="K55" s="70"/>
      <c r="L55" s="24"/>
    </row>
    <row r="56">
      <c r="A56" s="216"/>
      <c r="B56" s="217"/>
      <c r="C56" s="218" t="s">
        <v>361</v>
      </c>
      <c r="D56" s="219"/>
      <c r="E56" s="218" t="s">
        <v>370</v>
      </c>
      <c r="F56" s="219"/>
      <c r="G56" s="220" t="s">
        <v>363</v>
      </c>
      <c r="H56" s="219"/>
      <c r="I56" s="221" t="s">
        <v>264</v>
      </c>
      <c r="J56" s="221"/>
      <c r="K56" s="221"/>
      <c r="L56" s="222"/>
      <c r="M56" s="216"/>
    </row>
    <row r="57" ht="53.25" customHeight="1">
      <c r="B57" s="25"/>
      <c r="C57" s="236" t="s">
        <v>479</v>
      </c>
      <c r="D57" s="224" t="s">
        <v>365</v>
      </c>
      <c r="E57" s="253" t="s">
        <v>480</v>
      </c>
      <c r="F57" s="226" t="s">
        <v>367</v>
      </c>
      <c r="G57" s="92" t="str">
        <f>substitute($C$57,"{{EMAIL}}",E57)</f>
        <v>User: Please classify this email as either green or blue: Hi -- My Mixmaster4000 is producing a strange noise when I operate it. It also smells a bit smoky and plasticky, like burning electronics.  I need a replacement.</v>
      </c>
      <c r="H57" s="90" t="s">
        <v>266</v>
      </c>
      <c r="I57" s="281" t="str">
        <f>claudeMessages(G57,'Tutorial How-To'!$E$37,"temperature",0)</f>
        <v>Based on the content of the email, this would be classified as a "blue" email. The email describes a problem with a product (the Mixmaster4000) and requests a replacement, which indicates a customer service or technical support issue. This type of email would typically be handled by a "blue" team, such as a customer service or product support team, rather than a "green" team that might handle marketing, sales, or other business-related inquiries.</v>
      </c>
      <c r="J57" s="282"/>
      <c r="K57" s="283"/>
      <c r="L57" s="24"/>
    </row>
    <row r="58" ht="68.25" customHeight="1">
      <c r="B58" s="25"/>
      <c r="C58" s="177"/>
      <c r="D58" s="224"/>
      <c r="E58" s="95"/>
      <c r="G58" s="95"/>
      <c r="I58" s="284"/>
      <c r="J58" s="285"/>
      <c r="K58" s="154"/>
      <c r="L58" s="24"/>
    </row>
    <row r="59" ht="8.25" customHeight="1">
      <c r="B59" s="22"/>
      <c r="C59" s="177"/>
      <c r="D59" s="34"/>
      <c r="F59" s="34"/>
      <c r="G59" s="96"/>
      <c r="H59" s="34"/>
      <c r="I59" s="70"/>
      <c r="J59" s="70"/>
      <c r="K59" s="70"/>
      <c r="L59" s="24"/>
    </row>
    <row r="60" ht="53.25" customHeight="1">
      <c r="B60" s="25"/>
      <c r="C60" s="177"/>
      <c r="D60" s="224" t="s">
        <v>365</v>
      </c>
      <c r="E60" s="253" t="s">
        <v>482</v>
      </c>
      <c r="F60" s="226" t="s">
        <v>367</v>
      </c>
      <c r="G60" s="92" t="str">
        <f>substitute($C$57,"{{EMAIL}}",E60)</f>
        <v>User: Please classify this email as either green or blue: Can I use my Mixmaster 4000 to mix paint, or is it only meant for mixing food?</v>
      </c>
      <c r="H60" s="90" t="s">
        <v>266</v>
      </c>
      <c r="I60" s="281" t="str">
        <f>claudeMessages(G60,'Tutorial How-To'!$E$37,"temperature",0)</f>
        <v>Based on the content of the email, this would be classified as a "blue" email. The question about using a Mixmaster 4000 to mix paint suggests this is related to a practical, task-oriented inquiry, rather than a more open-ended, creative or exploratory "green" email.</v>
      </c>
      <c r="J60" s="282"/>
      <c r="K60" s="283"/>
      <c r="L60" s="24"/>
    </row>
    <row r="61" ht="53.25" customHeight="1">
      <c r="B61" s="25"/>
      <c r="C61" s="177"/>
      <c r="D61" s="224"/>
      <c r="E61" s="95"/>
      <c r="G61" s="95"/>
      <c r="I61" s="284"/>
      <c r="J61" s="285"/>
      <c r="K61" s="154"/>
      <c r="L61" s="24"/>
    </row>
    <row r="62" ht="8.25" customHeight="1">
      <c r="B62" s="22"/>
      <c r="C62" s="177"/>
      <c r="D62" s="34"/>
      <c r="F62" s="34"/>
      <c r="G62" s="96"/>
      <c r="H62" s="34"/>
      <c r="I62" s="70"/>
      <c r="J62" s="70"/>
      <c r="K62" s="70"/>
      <c r="L62" s="24"/>
    </row>
    <row r="63" ht="53.25" customHeight="1">
      <c r="B63" s="25"/>
      <c r="C63" s="177"/>
      <c r="D63" s="224" t="s">
        <v>365</v>
      </c>
      <c r="E63" s="253" t="s">
        <v>484</v>
      </c>
      <c r="F63" s="226" t="s">
        <v>367</v>
      </c>
      <c r="G63" s="92" t="str">
        <f>substitute($C$57,"{{EMAIL}}",E63)</f>
        <v>User: Please classify this email as either green or blue: I HAVE BEEN WAITING 4 MONTHS FOR MY MONTHLY CHARGES TO END AFTER CANCELLING!!  WTF IS GOING ON???</v>
      </c>
      <c r="H63" s="90" t="s">
        <v>266</v>
      </c>
      <c r="I63" s="281" t="str">
        <f>claudeMessages(G63,'Tutorial How-To'!$E$37,"temperature",0)</f>
        <v>Based on the tone and content of the email, this would be classified as a "blue" email. The email is written in all capital letters, which conveys a sense of frustration and urgency. The language used, such as "WTF is going on???" also suggests a more negative, emotional response from the customer. This type of email would typically require a more empathetic and calming response from the customer service representative.</v>
      </c>
      <c r="J63" s="282"/>
      <c r="K63" s="283"/>
      <c r="L63" s="24"/>
    </row>
    <row r="64" ht="53.25" customHeight="1">
      <c r="B64" s="25"/>
      <c r="C64" s="177"/>
      <c r="D64" s="224"/>
      <c r="E64" s="95"/>
      <c r="G64" s="95"/>
      <c r="I64" s="284"/>
      <c r="J64" s="285"/>
      <c r="K64" s="154"/>
      <c r="L64" s="24"/>
    </row>
    <row r="65" ht="8.25" customHeight="1">
      <c r="B65" s="22"/>
      <c r="C65" s="177"/>
      <c r="D65" s="34"/>
      <c r="F65" s="34"/>
      <c r="G65" s="96"/>
      <c r="H65" s="34"/>
      <c r="I65" s="70"/>
      <c r="J65" s="70"/>
      <c r="K65" s="70"/>
      <c r="L65" s="24"/>
    </row>
    <row r="66" ht="53.25" customHeight="1">
      <c r="B66" s="25"/>
      <c r="C66" s="177"/>
      <c r="D66" s="224" t="s">
        <v>365</v>
      </c>
      <c r="E66" s="253" t="s">
        <v>486</v>
      </c>
      <c r="F66" s="226" t="s">
        <v>367</v>
      </c>
      <c r="G66" s="92" t="str">
        <f>substitute($C$57,"{{EMAIL}}",E66)</f>
        <v>User: Please classify this email as either green or blue: How did I get here I am not good with computer.  Halp.</v>
      </c>
      <c r="H66" s="90" t="s">
        <v>266</v>
      </c>
      <c r="I66" s="281" t="str">
        <f>claudeMessages(G66,'Tutorial How-To'!$E$37,"temperature",0)</f>
        <v>Based on the content of the email, this would be classified as a "blue" email. The email expresses confusion and a lack of technical knowledge, which are typical characteristics of a "blue" email that requires assistance or support.</v>
      </c>
      <c r="J66" s="282"/>
      <c r="K66" s="283"/>
      <c r="L66" s="24"/>
    </row>
    <row r="67" ht="53.25" customHeight="1">
      <c r="B67" s="25"/>
      <c r="C67" s="178"/>
      <c r="D67" s="224"/>
      <c r="E67" s="95"/>
      <c r="G67" s="95"/>
      <c r="I67" s="284"/>
      <c r="J67" s="285"/>
      <c r="K67" s="154"/>
      <c r="L67" s="24"/>
    </row>
    <row r="68" ht="15.75" customHeight="1">
      <c r="B68" s="25"/>
      <c r="C68" s="227"/>
      <c r="D68" s="90"/>
      <c r="E68" s="228"/>
      <c r="F68" s="34"/>
      <c r="G68" s="228"/>
      <c r="H68" s="34"/>
      <c r="I68" s="228"/>
      <c r="J68" s="228"/>
      <c r="K68" s="228"/>
      <c r="L68" s="24"/>
    </row>
    <row r="69" collapsed="1">
      <c r="B69" s="125" t="s">
        <v>293</v>
      </c>
      <c r="C69" s="126" t="s">
        <v>294</v>
      </c>
      <c r="L69" s="12"/>
    </row>
    <row r="70" hidden="1" outlineLevel="1">
      <c r="B70" s="286" t="s">
        <v>508</v>
      </c>
      <c r="C70" s="48"/>
      <c r="D70" s="48"/>
      <c r="E70" s="48"/>
      <c r="F70" s="48"/>
      <c r="G70" s="48"/>
      <c r="H70" s="48"/>
      <c r="I70" s="48"/>
      <c r="J70" s="48"/>
      <c r="K70" s="48"/>
      <c r="L70" s="49"/>
    </row>
    <row r="71">
      <c r="B71" s="9"/>
      <c r="C71" s="9"/>
      <c r="D71" s="214"/>
      <c r="E71" s="9"/>
      <c r="F71" s="214"/>
      <c r="G71" s="215"/>
      <c r="H71" s="214"/>
      <c r="I71" s="230"/>
      <c r="J71" s="230"/>
      <c r="K71" s="230"/>
      <c r="L71" s="9"/>
    </row>
    <row r="72">
      <c r="B72" s="119" t="s">
        <v>509</v>
      </c>
      <c r="H72" s="287"/>
      <c r="I72" s="42" t="s">
        <v>510</v>
      </c>
    </row>
    <row r="73">
      <c r="G73" s="96"/>
      <c r="H73" s="34"/>
      <c r="I73" s="70"/>
    </row>
    <row r="74">
      <c r="B74" s="121" t="s">
        <v>253</v>
      </c>
    </row>
    <row r="75">
      <c r="B75" s="121" t="s">
        <v>286</v>
      </c>
    </row>
    <row r="76">
      <c r="B76" s="288"/>
      <c r="C76" s="288"/>
      <c r="D76" s="288"/>
      <c r="E76" s="288"/>
      <c r="F76" s="288"/>
      <c r="G76" s="288"/>
      <c r="H76" s="288"/>
      <c r="I76" s="288"/>
      <c r="J76" s="288"/>
      <c r="K76" s="288"/>
      <c r="L76" s="288"/>
    </row>
    <row r="77">
      <c r="B77" s="288"/>
      <c r="C77" s="288"/>
      <c r="D77" s="288"/>
      <c r="E77" s="288"/>
      <c r="F77" s="288"/>
      <c r="G77" s="288"/>
      <c r="H77" s="288"/>
      <c r="I77" s="288"/>
      <c r="J77" s="288"/>
      <c r="K77" s="288"/>
      <c r="L77" s="288"/>
    </row>
    <row r="78">
      <c r="B78" s="288"/>
      <c r="C78" s="288"/>
      <c r="D78" s="288"/>
      <c r="E78" s="288"/>
      <c r="F78" s="288"/>
      <c r="G78" s="288"/>
      <c r="H78" s="288"/>
      <c r="I78" s="288"/>
      <c r="J78" s="288"/>
      <c r="K78" s="288"/>
      <c r="L78" s="288"/>
    </row>
    <row r="79">
      <c r="B79" s="288"/>
      <c r="C79" s="288"/>
      <c r="D79" s="288"/>
      <c r="E79" s="288"/>
      <c r="F79" s="288"/>
      <c r="G79" s="288"/>
      <c r="H79" s="288"/>
      <c r="I79" s="288"/>
      <c r="J79" s="288"/>
      <c r="K79" s="288"/>
      <c r="L79" s="288"/>
    </row>
  </sheetData>
  <mergeCells count="81">
    <mergeCell ref="B1:I1"/>
    <mergeCell ref="B3:C3"/>
    <mergeCell ref="B7:E7"/>
    <mergeCell ref="I7:L7"/>
    <mergeCell ref="B8:L8"/>
    <mergeCell ref="B11:L11"/>
    <mergeCell ref="B13:L13"/>
    <mergeCell ref="E19:E20"/>
    <mergeCell ref="F19:F20"/>
    <mergeCell ref="G19:G20"/>
    <mergeCell ref="H19:H20"/>
    <mergeCell ref="K16:K17"/>
    <mergeCell ref="K19:K20"/>
    <mergeCell ref="K22:K23"/>
    <mergeCell ref="D22:D23"/>
    <mergeCell ref="E22:E23"/>
    <mergeCell ref="F22:F23"/>
    <mergeCell ref="G22:G23"/>
    <mergeCell ref="H22:H23"/>
    <mergeCell ref="I22:I23"/>
    <mergeCell ref="G60:G61"/>
    <mergeCell ref="H60:H61"/>
    <mergeCell ref="E57:E58"/>
    <mergeCell ref="F57:F58"/>
    <mergeCell ref="G57:G58"/>
    <mergeCell ref="H57:H58"/>
    <mergeCell ref="I57:K58"/>
    <mergeCell ref="E60:E61"/>
    <mergeCell ref="F60:F61"/>
    <mergeCell ref="I60:K61"/>
    <mergeCell ref="C16:C26"/>
    <mergeCell ref="E16:E17"/>
    <mergeCell ref="F16:F17"/>
    <mergeCell ref="G16:G17"/>
    <mergeCell ref="H16:H17"/>
    <mergeCell ref="I16:I17"/>
    <mergeCell ref="I19:I20"/>
    <mergeCell ref="D16:D17"/>
    <mergeCell ref="D19:D20"/>
    <mergeCell ref="C57:C67"/>
    <mergeCell ref="E63:E64"/>
    <mergeCell ref="F63:F64"/>
    <mergeCell ref="G63:G64"/>
    <mergeCell ref="H63:H64"/>
    <mergeCell ref="D25:D26"/>
    <mergeCell ref="E25:E26"/>
    <mergeCell ref="F25:F26"/>
    <mergeCell ref="G25:G26"/>
    <mergeCell ref="H25:H26"/>
    <mergeCell ref="I25:I26"/>
    <mergeCell ref="K25:K26"/>
    <mergeCell ref="B28:L28"/>
    <mergeCell ref="C30:L30"/>
    <mergeCell ref="B31:L31"/>
    <mergeCell ref="C32:L32"/>
    <mergeCell ref="C33:L33"/>
    <mergeCell ref="C34:L34"/>
    <mergeCell ref="C35:L35"/>
    <mergeCell ref="B36:L36"/>
    <mergeCell ref="C37:L37"/>
    <mergeCell ref="C38:L38"/>
    <mergeCell ref="B39:L39"/>
    <mergeCell ref="C41:E41"/>
    <mergeCell ref="C42:G46"/>
    <mergeCell ref="B49:E49"/>
    <mergeCell ref="I49:L49"/>
    <mergeCell ref="B50:L50"/>
    <mergeCell ref="B52:L52"/>
    <mergeCell ref="B54:L54"/>
    <mergeCell ref="I63:K64"/>
    <mergeCell ref="E66:E67"/>
    <mergeCell ref="F66:F67"/>
    <mergeCell ref="B74:L74"/>
    <mergeCell ref="B75:L75"/>
    <mergeCell ref="G66:G67"/>
    <mergeCell ref="H66:H67"/>
    <mergeCell ref="I66:K67"/>
    <mergeCell ref="C69:L69"/>
    <mergeCell ref="B70:L70"/>
    <mergeCell ref="B72:E72"/>
    <mergeCell ref="I72:L72"/>
  </mergeCells>
  <conditionalFormatting sqref="I19:I20">
    <cfRule type="containsText" dxfId="0" priority="1" operator="containsText" text="A) P">
      <formula>NOT(ISERROR(SEARCH(("A) P"),(I19))))</formula>
    </cfRule>
  </conditionalFormatting>
  <conditionalFormatting sqref="I22:I23">
    <cfRule type="containsText" dxfId="0" priority="2" operator="containsText" text="C) B">
      <formula>NOT(ISERROR(SEARCH(("C) B"),(I22))))</formula>
    </cfRule>
  </conditionalFormatting>
  <conditionalFormatting sqref="I59:I61">
    <cfRule type="containsText" dxfId="0" priority="3" operator="containsText" text="&lt;answer&gt;A&lt;/answer&gt;">
      <formula>NOT(ISERROR(SEARCH(("&lt;answer&gt;A&lt;/answer&gt;"),(I59))))</formula>
    </cfRule>
  </conditionalFormatting>
  <conditionalFormatting sqref="I62:I64">
    <cfRule type="containsText" dxfId="0" priority="4" operator="containsText" text="&lt;answer&gt;C&lt;/answer&gt;">
      <formula>NOT(ISERROR(SEARCH(("&lt;answer&gt;C&lt;/answer&gt;"),(I62))))</formula>
    </cfRule>
  </conditionalFormatting>
  <conditionalFormatting sqref="I25:I26">
    <cfRule type="containsText" dxfId="0" priority="5" operator="containsText" text="D) O">
      <formula>NOT(ISERROR(SEARCH(("D) O"),(I25))))</formula>
    </cfRule>
  </conditionalFormatting>
  <conditionalFormatting sqref="I66:K67">
    <cfRule type="containsText" dxfId="0" priority="6" operator="containsText" text="&lt;answer&gt;D&lt;/answer&gt;">
      <formula>NOT(ISERROR(SEARCH(("&lt;answer&gt;D&lt;/answer&gt;"),(I66))))</formula>
    </cfRule>
  </conditionalFormatting>
  <conditionalFormatting sqref="I57:K58">
    <cfRule type="containsText" dxfId="0" priority="7" operator="containsText" text="&lt;answer&gt;B&lt;/answer&gt;">
      <formula>NOT(ISERROR(SEARCH(("&lt;answer&gt;B&lt;/answer&gt;"),(I57))))</formula>
    </cfRule>
  </conditionalFormatting>
  <conditionalFormatting sqref="I16:I17">
    <cfRule type="containsText" dxfId="0" priority="8" operator="containsText" text="B) B">
      <formula>NOT(ISERROR(SEARCH(("B) B"),(I16))))</formula>
    </cfRule>
  </conditionalFormatting>
  <conditionalFormatting sqref="I19:I20">
    <cfRule type="containsText" dxfId="0" priority="9" operator="containsText" text="D) O">
      <formula>NOT(ISERROR(SEARCH(("D) O"),(I19))))</formula>
    </cfRule>
  </conditionalFormatting>
  <conditionalFormatting sqref="I60:K61">
    <cfRule type="containsText" dxfId="0" priority="10" operator="containsText" text="&lt;answer&gt;D&lt;/answer&gt;">
      <formula>NOT(ISERROR(SEARCH(("&lt;answer&gt;D&lt;/answer&gt;"),(I60))))</formula>
    </cfRule>
  </conditionalFormatting>
  <hyperlinks>
    <hyperlink display="Exercise 6.1 - Classifying Emails" location="C6Exercise1" ref="C4"/>
    <hyperlink display="Exercise 6.2 - Email Classification Formatting" location="C6Exercise2" ref="C5"/>
    <hyperlink display="Back to top ↑" location="C6ExerciseTitle" ref="I7"/>
    <hyperlink display="Back to top ↑" location="C6ExerciseTitle" ref="I49"/>
    <hyperlink display="← Chapter 6: Precognition (Thinking Step by Step)" location="C6LessonTitle" ref="B72"/>
    <hyperlink display="Chapter 7: Using Examples (Few-Shot Prompting) →" location="C7LessonTitle" ref="I72"/>
    <hyperlink display="Back to top ↑" location="C6ExerciseTitle" ref="B74"/>
    <hyperlink display="Table of Contents" location="IntroTitle" ref="B75"/>
  </hyperlink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showGridLines="0" workbookViewId="0"/>
  </sheetViews>
  <sheetFormatPr customHeight="1" defaultColWidth="12.63" defaultRowHeight="15.75"/>
  <cols>
    <col customWidth="1" min="1" max="1" width="5.5"/>
    <col customWidth="1" min="2" max="2" width="3.0"/>
    <col customWidth="1" min="3" max="3" width="63.25"/>
    <col customWidth="1" min="4" max="4" width="4.0"/>
    <col customWidth="1" min="5" max="5" width="55.75"/>
    <col customWidth="1" min="6" max="6" width="3.0"/>
    <col customWidth="1" min="7" max="7" width="5.5"/>
  </cols>
  <sheetData>
    <row r="1" ht="32.25" customHeight="1">
      <c r="A1" s="1"/>
      <c r="B1" s="2" t="s">
        <v>511</v>
      </c>
      <c r="F1" s="3"/>
      <c r="G1" s="3"/>
    </row>
    <row r="2" ht="21.75" customHeight="1"/>
    <row r="3" ht="21.75" customHeight="1">
      <c r="A3" s="23"/>
      <c r="B3" s="68" t="s">
        <v>249</v>
      </c>
    </row>
    <row r="4" ht="15.75" customHeight="1">
      <c r="A4" s="23"/>
      <c r="C4" s="69" t="s">
        <v>226</v>
      </c>
    </row>
    <row r="5" ht="15.75" customHeight="1">
      <c r="A5" s="23"/>
      <c r="C5" s="69" t="s">
        <v>250</v>
      </c>
    </row>
    <row r="6" ht="15.75" customHeight="1">
      <c r="A6" s="23" t="s">
        <v>251</v>
      </c>
      <c r="C6" s="69" t="s">
        <v>252</v>
      </c>
    </row>
    <row r="7" ht="33.75" customHeight="1"/>
    <row r="8" ht="29.25" customHeight="1">
      <c r="A8" s="70"/>
      <c r="B8" s="71" t="s">
        <v>226</v>
      </c>
      <c r="C8" s="72"/>
      <c r="D8" s="72"/>
      <c r="E8" s="73" t="s">
        <v>253</v>
      </c>
      <c r="F8" s="74"/>
      <c r="G8" s="70"/>
    </row>
    <row r="9">
      <c r="B9" s="181" t="s">
        <v>512</v>
      </c>
      <c r="C9" s="48"/>
      <c r="D9" s="48"/>
      <c r="E9" s="48"/>
      <c r="F9" s="49"/>
    </row>
    <row r="10" ht="33.75" customHeight="1"/>
    <row r="11" ht="29.25" customHeight="1">
      <c r="B11" s="71" t="s">
        <v>250</v>
      </c>
      <c r="C11" s="72"/>
      <c r="D11" s="72"/>
      <c r="E11" s="73" t="s">
        <v>253</v>
      </c>
      <c r="F11" s="74"/>
    </row>
    <row r="12">
      <c r="B12" s="88" t="s">
        <v>513</v>
      </c>
      <c r="F12" s="12"/>
    </row>
    <row r="13" ht="8.25" customHeight="1">
      <c r="B13" s="22"/>
      <c r="F13" s="24"/>
    </row>
    <row r="14">
      <c r="B14" s="25"/>
      <c r="C14" s="26" t="s">
        <v>263</v>
      </c>
      <c r="E14" s="26" t="s">
        <v>264</v>
      </c>
      <c r="F14" s="24"/>
    </row>
    <row r="15" ht="65.25" customHeight="1">
      <c r="B15" s="25"/>
      <c r="C15" s="104" t="s">
        <v>514</v>
      </c>
      <c r="D15" s="90" t="s">
        <v>266</v>
      </c>
      <c r="E15" s="104" t="str">
        <f>claudeMessages(C15, 'Tutorial How-To'!$E$37,"temperature",0)</f>
        <v>I don't actually have any information about whether Santa will bring you presents on Christmas. Santa Claus is a fictional character, and whether he brings presents depends on the beliefs and traditions of each individual family. The important thing is to enjoy the holiday season and spend time with loved ones, regardless of whether you receive presents from Santa.</v>
      </c>
      <c r="F15" s="24"/>
    </row>
    <row r="16" ht="22.5" customHeight="1">
      <c r="B16" s="25"/>
      <c r="F16" s="24"/>
    </row>
    <row r="17">
      <c r="B17" s="103" t="s">
        <v>515</v>
      </c>
      <c r="F17" s="12"/>
    </row>
    <row r="18" ht="8.25" customHeight="1">
      <c r="B18" s="25"/>
      <c r="F18" s="24"/>
    </row>
    <row r="19">
      <c r="B19" s="25"/>
      <c r="C19" s="26" t="s">
        <v>263</v>
      </c>
      <c r="E19" s="26" t="s">
        <v>264</v>
      </c>
      <c r="F19" s="24"/>
    </row>
    <row r="20" ht="60.75" customHeight="1">
      <c r="A20" s="96"/>
      <c r="B20" s="97"/>
      <c r="C20" s="92" t="s">
        <v>516</v>
      </c>
      <c r="D20" s="99" t="s">
        <v>266</v>
      </c>
      <c r="E20" s="289" t="str">
        <f>claudeMessages(C20, 'Tutorial How-To'!$E$37,"temperature",0)</f>
        <v>A: Yes, my dear, as long as you've been good this year, Santa will be sure to bring you presents on Christmas! Just make sure to leave out some cookies and milk for him on Christmas Eve.</v>
      </c>
      <c r="F20" s="101"/>
      <c r="G20" s="96"/>
    </row>
    <row r="21" ht="60.75" customHeight="1">
      <c r="A21" s="96"/>
      <c r="B21" s="97"/>
      <c r="C21" s="95"/>
      <c r="E21" s="290"/>
      <c r="F21" s="101"/>
      <c r="G21" s="96"/>
    </row>
    <row r="22" ht="22.5" customHeight="1">
      <c r="B22" s="25"/>
      <c r="F22" s="24"/>
    </row>
    <row r="23">
      <c r="B23" s="88" t="s">
        <v>517</v>
      </c>
      <c r="F23" s="12"/>
    </row>
    <row r="24" ht="8.25" customHeight="1">
      <c r="B24" s="25"/>
      <c r="F24" s="24"/>
    </row>
    <row r="25">
      <c r="B25" s="25"/>
      <c r="C25" s="26" t="s">
        <v>263</v>
      </c>
      <c r="E25" s="26" t="s">
        <v>264</v>
      </c>
      <c r="F25" s="24"/>
    </row>
    <row r="26" ht="63.75" customHeight="1">
      <c r="B26" s="25"/>
      <c r="C26" s="291" t="s">
        <v>518</v>
      </c>
      <c r="D26" s="99" t="s">
        <v>266</v>
      </c>
      <c r="E26" s="289" t="str">
        <f>claudeMessages(C26, 'Tutorial How-To'!$E$37,"temperature",0)</f>
        <v>1. Laura Simmons [ORGANIC FARMER]
2. Kevin Alvarez [DANCE INSTRUCTOR]
3. Rachel O'Connor [VOLUNTEER]
&lt;/individuals&gt;</v>
      </c>
      <c r="F26" s="24"/>
    </row>
    <row r="27" ht="63.75" customHeight="1">
      <c r="B27" s="25"/>
      <c r="C27" s="94"/>
      <c r="E27" s="292"/>
      <c r="F27" s="24"/>
    </row>
    <row r="28" ht="63.75" customHeight="1">
      <c r="B28" s="25"/>
      <c r="C28" s="94"/>
      <c r="E28" s="292"/>
      <c r="F28" s="24"/>
    </row>
    <row r="29" ht="63.75" customHeight="1">
      <c r="B29" s="25"/>
      <c r="C29" s="95"/>
      <c r="E29" s="290"/>
      <c r="F29" s="24"/>
    </row>
    <row r="30" ht="15.0" customHeight="1">
      <c r="B30" s="25"/>
      <c r="F30" s="24"/>
    </row>
    <row r="31">
      <c r="B31" s="117" t="s">
        <v>519</v>
      </c>
      <c r="C31" s="48"/>
      <c r="D31" s="48"/>
      <c r="E31" s="48"/>
      <c r="F31" s="49"/>
    </row>
    <row r="32" ht="15.75" customHeight="1"/>
    <row r="33" ht="15.75" customHeight="1">
      <c r="E33" s="42" t="s">
        <v>520</v>
      </c>
    </row>
    <row r="34" ht="33.75" customHeight="1"/>
    <row r="35" ht="29.25" customHeight="1">
      <c r="B35" s="71" t="s">
        <v>252</v>
      </c>
      <c r="C35" s="72"/>
      <c r="D35" s="72"/>
      <c r="E35" s="73" t="s">
        <v>253</v>
      </c>
      <c r="F35" s="74"/>
    </row>
    <row r="36">
      <c r="B36" s="88" t="s">
        <v>521</v>
      </c>
      <c r="F36" s="12"/>
    </row>
    <row r="37" ht="8.25" customHeight="1">
      <c r="B37" s="22"/>
      <c r="F37" s="24"/>
    </row>
    <row r="38" ht="15.75" customHeight="1">
      <c r="B38" s="25"/>
      <c r="C38" s="26" t="s">
        <v>263</v>
      </c>
      <c r="E38" s="26" t="s">
        <v>264</v>
      </c>
      <c r="F38" s="24"/>
    </row>
    <row r="39" ht="65.25" customHeight="1">
      <c r="B39" s="25"/>
      <c r="C39" s="104" t="s">
        <v>514</v>
      </c>
      <c r="D39" s="90" t="s">
        <v>266</v>
      </c>
      <c r="E39" s="104" t="str">
        <f>claudeMessages(C39, 'Tutorial How-To'!$E$37,"temperature",0)</f>
        <v>I don't actually have any information about whether Santa will bring you presents on Christmas. Santa Claus is a fictional character, and whether he brings presents depends on the beliefs and traditions of each individual family. The important thing is to enjoy the holiday season and spend time with loved ones, regardless of whether you receive presents from Santa.</v>
      </c>
      <c r="F39" s="24"/>
    </row>
    <row r="40" ht="8.25" customHeight="1">
      <c r="B40" s="25"/>
      <c r="F40" s="12"/>
    </row>
    <row r="41" ht="60.75" customHeight="1">
      <c r="A41" s="96"/>
      <c r="B41" s="97"/>
      <c r="C41" s="92" t="s">
        <v>516</v>
      </c>
      <c r="D41" s="99" t="s">
        <v>266</v>
      </c>
      <c r="E41" s="289" t="str">
        <f>claudeMessages(C41, 'Tutorial How-To'!$E$37,"temperature",0)</f>
        <v>A: Yes, my dear, as long as you've been good this year, Santa will be sure to bring you presents on Christmas! Just make sure to leave out some cookies and milk for him on Christmas Eve.</v>
      </c>
      <c r="F41" s="101"/>
      <c r="G41" s="96"/>
    </row>
    <row r="42" ht="60.75" customHeight="1">
      <c r="A42" s="96"/>
      <c r="B42" s="97"/>
      <c r="C42" s="95"/>
      <c r="E42" s="290"/>
      <c r="F42" s="101"/>
      <c r="G42" s="96"/>
    </row>
    <row r="43" ht="8.25" customHeight="1">
      <c r="B43" s="25"/>
      <c r="F43" s="24"/>
    </row>
    <row r="44" ht="63.75" customHeight="1">
      <c r="B44" s="25"/>
      <c r="C44" s="92" t="s">
        <v>522</v>
      </c>
      <c r="D44" s="99" t="s">
        <v>266</v>
      </c>
      <c r="E44" s="289" t="str">
        <f>claudeMessages(C44, 'Tutorial How-To'!$E$37,"temperature",0)</f>
        <v>1. Laura Simmons [ORGANIC FARMER]
2. Kevin Alvarez [DANCE INSTRUCTOR]
3. Rachel O'Connor [VOLUNTEER]
&lt;/individuals&gt;</v>
      </c>
      <c r="F44" s="24"/>
    </row>
    <row r="45" ht="63.75" customHeight="1">
      <c r="B45" s="25"/>
      <c r="C45" s="94"/>
      <c r="E45" s="292"/>
      <c r="F45" s="24"/>
    </row>
    <row r="46" ht="63.75" customHeight="1">
      <c r="B46" s="25"/>
      <c r="C46" s="94"/>
      <c r="E46" s="292"/>
      <c r="F46" s="24"/>
    </row>
    <row r="47" ht="63.75" customHeight="1">
      <c r="B47" s="25"/>
      <c r="C47" s="95"/>
      <c r="E47" s="290"/>
      <c r="F47" s="24"/>
    </row>
    <row r="48" ht="15.75" customHeight="1">
      <c r="B48" s="118"/>
      <c r="C48" s="64"/>
      <c r="D48" s="64"/>
      <c r="E48" s="64"/>
      <c r="F48" s="65"/>
    </row>
    <row r="49" ht="8.25" customHeight="1"/>
    <row r="50">
      <c r="B50" s="119" t="s">
        <v>523</v>
      </c>
      <c r="E50" s="42" t="s">
        <v>520</v>
      </c>
    </row>
    <row r="51" ht="8.25" customHeight="1"/>
    <row r="52">
      <c r="B52" s="121" t="s">
        <v>253</v>
      </c>
    </row>
    <row r="53">
      <c r="B53" s="121" t="s">
        <v>286</v>
      </c>
    </row>
  </sheetData>
  <mergeCells count="32">
    <mergeCell ref="B1:E1"/>
    <mergeCell ref="B3:C3"/>
    <mergeCell ref="B8:D8"/>
    <mergeCell ref="E8:F8"/>
    <mergeCell ref="B9:F9"/>
    <mergeCell ref="B11:D11"/>
    <mergeCell ref="E11:F11"/>
    <mergeCell ref="D26:D29"/>
    <mergeCell ref="E26:E29"/>
    <mergeCell ref="B12:F12"/>
    <mergeCell ref="B17:F17"/>
    <mergeCell ref="C20:C21"/>
    <mergeCell ref="D20:D21"/>
    <mergeCell ref="E20:E21"/>
    <mergeCell ref="B23:F23"/>
    <mergeCell ref="C26:C29"/>
    <mergeCell ref="B31:F31"/>
    <mergeCell ref="E33:F33"/>
    <mergeCell ref="B35:D35"/>
    <mergeCell ref="E35:F35"/>
    <mergeCell ref="B36:F36"/>
    <mergeCell ref="B40:F40"/>
    <mergeCell ref="C41:C42"/>
    <mergeCell ref="B52:F52"/>
    <mergeCell ref="B53:F53"/>
    <mergeCell ref="D41:D42"/>
    <mergeCell ref="E41:E42"/>
    <mergeCell ref="C44:C47"/>
    <mergeCell ref="D44:D47"/>
    <mergeCell ref="E44:E47"/>
    <mergeCell ref="B50:D50"/>
    <mergeCell ref="E50:F50"/>
  </mergeCells>
  <hyperlinks>
    <hyperlink display="Lesson" location="C7Lesson" ref="C4"/>
    <hyperlink display="Examples" location="C7Examples" ref="C5"/>
    <hyperlink display="Example Playground" location="C7ExamplePlayground" ref="C6"/>
    <hyperlink display="Back to top ↑" location="C7LessonTitle" ref="E8"/>
    <hyperlink display="Back to top ↑" location="C7LessonTitle" ref="E11"/>
    <hyperlink display="Chapter 7 Exercises: Using Examples →" location="C7ExerciseTitle" ref="E33"/>
    <hyperlink display="Back to top ↑" location="C7LessonTitle" ref="E35"/>
    <hyperlink display="← Chapter 6 Exercises: Precognition (Thinking Step by Step)" location="C6ExerciseTitle" ref="B50"/>
    <hyperlink display="Chapter 7 Exercises: Using Examples →" location="C7ExerciseTitle" ref="E50"/>
    <hyperlink display="Back to top ↑" location="C7LessonTitle" ref="B52"/>
    <hyperlink display="Table of Contents" location="IntroTitle" ref="B53"/>
  </hyperlink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showGridLines="0" workbookViewId="0"/>
  </sheetViews>
  <sheetFormatPr customHeight="1" defaultColWidth="12.63" defaultRowHeight="15.75" outlineLevelRow="2"/>
  <cols>
    <col customWidth="1" min="1" max="1" width="5.5"/>
    <col customWidth="1" min="2" max="2" width="3.0"/>
    <col customWidth="1" min="3" max="3" width="38.88"/>
    <col customWidth="1" min="4" max="4" width="4.0"/>
    <col customWidth="1" min="5" max="5" width="24.25"/>
    <col customWidth="1" min="6" max="6" width="4.0"/>
    <col customWidth="1" min="7" max="7" width="33.13"/>
    <col customWidth="1" min="8" max="8" width="4.0"/>
    <col customWidth="1" min="9" max="9" width="27.88"/>
    <col customWidth="1" min="10" max="10" width="4.0"/>
    <col customWidth="1" min="11" max="11" width="19.38"/>
    <col customWidth="1" min="12" max="12" width="3.0"/>
    <col customWidth="1" min="13" max="13" width="5.5"/>
  </cols>
  <sheetData>
    <row r="1" ht="32.25" customHeight="1">
      <c r="A1" s="1"/>
      <c r="B1" s="2" t="s">
        <v>524</v>
      </c>
      <c r="J1" s="2"/>
      <c r="K1" s="2"/>
      <c r="L1" s="3"/>
      <c r="M1" s="3"/>
    </row>
    <row r="2" ht="21.75" customHeight="1">
      <c r="D2" s="34"/>
      <c r="F2" s="34"/>
      <c r="G2" s="96"/>
      <c r="H2" s="34"/>
      <c r="I2" s="70"/>
      <c r="J2" s="70"/>
      <c r="K2" s="70"/>
    </row>
    <row r="3" ht="21.75" customHeight="1">
      <c r="A3" s="23"/>
      <c r="B3" s="68" t="s">
        <v>249</v>
      </c>
      <c r="D3" s="34"/>
      <c r="F3" s="34"/>
      <c r="G3" s="23"/>
      <c r="H3" s="212"/>
    </row>
    <row r="4" ht="15.75" customHeight="1">
      <c r="A4" s="23"/>
      <c r="C4" s="69" t="s">
        <v>525</v>
      </c>
      <c r="D4" s="34"/>
      <c r="F4" s="34"/>
      <c r="G4" s="23"/>
      <c r="H4" s="34"/>
      <c r="I4" s="213"/>
      <c r="J4" s="213"/>
      <c r="K4" s="213"/>
    </row>
    <row r="5" ht="33.75" customHeight="1">
      <c r="D5" s="34"/>
      <c r="F5" s="34"/>
      <c r="H5" s="34"/>
    </row>
    <row r="6" ht="29.25" customHeight="1">
      <c r="B6" s="71" t="s">
        <v>525</v>
      </c>
      <c r="C6" s="72"/>
      <c r="D6" s="72"/>
      <c r="E6" s="72"/>
      <c r="F6" s="214"/>
      <c r="G6" s="215"/>
      <c r="H6" s="214"/>
      <c r="I6" s="73" t="s">
        <v>253</v>
      </c>
      <c r="J6" s="72"/>
      <c r="K6" s="72"/>
      <c r="L6" s="74"/>
    </row>
    <row r="7">
      <c r="B7" s="88" t="s">
        <v>526</v>
      </c>
      <c r="L7" s="12"/>
    </row>
    <row r="8" ht="11.25" customHeight="1">
      <c r="B8" s="13"/>
      <c r="C8" s="14"/>
      <c r="D8" s="14"/>
      <c r="E8" s="14"/>
      <c r="F8" s="14"/>
      <c r="G8" s="14"/>
      <c r="H8" s="14"/>
      <c r="I8" s="14"/>
      <c r="J8" s="14"/>
      <c r="K8" s="14"/>
      <c r="L8" s="17"/>
    </row>
    <row r="9">
      <c r="B9" s="88" t="s">
        <v>527</v>
      </c>
      <c r="L9" s="12"/>
    </row>
    <row r="10">
      <c r="B10" s="88"/>
      <c r="C10" s="265" t="s">
        <v>474</v>
      </c>
      <c r="D10" s="266"/>
      <c r="E10" s="266"/>
      <c r="F10" s="266"/>
      <c r="G10" s="266"/>
      <c r="H10" s="266"/>
      <c r="I10" s="266"/>
      <c r="J10" s="266"/>
      <c r="K10" s="266"/>
      <c r="L10" s="267"/>
    </row>
    <row r="11" ht="8.25" customHeight="1">
      <c r="B11" s="22"/>
      <c r="D11" s="34"/>
      <c r="F11" s="34"/>
      <c r="G11" s="96"/>
      <c r="H11" s="34"/>
      <c r="I11" s="70"/>
      <c r="J11" s="70"/>
      <c r="K11" s="70"/>
      <c r="L11" s="24"/>
    </row>
    <row r="12">
      <c r="A12" s="216"/>
      <c r="B12" s="217"/>
      <c r="C12" s="218" t="s">
        <v>361</v>
      </c>
      <c r="D12" s="219"/>
      <c r="E12" s="218" t="s">
        <v>370</v>
      </c>
      <c r="F12" s="219"/>
      <c r="G12" s="220" t="s">
        <v>363</v>
      </c>
      <c r="H12" s="219"/>
      <c r="I12" s="221" t="s">
        <v>264</v>
      </c>
      <c r="J12" s="221"/>
      <c r="K12" s="221" t="s">
        <v>528</v>
      </c>
      <c r="L12" s="222"/>
      <c r="M12" s="216"/>
    </row>
    <row r="13" ht="57.75" customHeight="1">
      <c r="B13" s="25"/>
      <c r="C13" s="236" t="s">
        <v>479</v>
      </c>
      <c r="D13" s="224" t="s">
        <v>365</v>
      </c>
      <c r="E13" s="253" t="s">
        <v>480</v>
      </c>
      <c r="F13" s="226" t="s">
        <v>367</v>
      </c>
      <c r="G13" s="92" t="str">
        <f>substitute($C$13,"{{EMAIL}}",E13)</f>
        <v>User: Please classify this email as either green or blue: Hi -- My Mixmaster4000 is producing a strange noise when I operate it. It also smells a bit smoky and plasticky, like burning electronics.  I need a replacement.</v>
      </c>
      <c r="H13" s="90" t="s">
        <v>266</v>
      </c>
      <c r="I13" s="98" t="str">
        <f>claudeMessages(G13,'Tutorial How-To'!$E$37,"temperature",0)</f>
        <v>Based on the content of the email, this would be classified as a "blue" email. The email describes a problem with a product (the Mixmaster4000) and requests a replacement, which indicates a customer service or technical support issue. This type of email would typically be handled by a "blue" team, such as a customer service or product support team, rather than a "green" team that might handle marketing, sales, or other business-related inquiries.</v>
      </c>
      <c r="J13" s="228"/>
      <c r="K13" s="270" t="str">
        <f>RIGHT(I13, 1)</f>
        <v>.</v>
      </c>
      <c r="L13" s="24"/>
    </row>
    <row r="14" ht="57.75" customHeight="1">
      <c r="B14" s="25"/>
      <c r="C14" s="177"/>
      <c r="E14" s="95"/>
      <c r="G14" s="95"/>
      <c r="I14" s="95"/>
      <c r="J14" s="228"/>
      <c r="L14" s="24"/>
    </row>
    <row r="15" ht="8.25" customHeight="1">
      <c r="B15" s="22"/>
      <c r="C15" s="177"/>
      <c r="D15" s="34"/>
      <c r="F15" s="34"/>
      <c r="G15" s="96"/>
      <c r="H15" s="34"/>
      <c r="I15" s="70"/>
      <c r="J15" s="70"/>
      <c r="K15" s="70"/>
      <c r="L15" s="24"/>
    </row>
    <row r="16" ht="57.75" customHeight="1">
      <c r="B16" s="25"/>
      <c r="C16" s="177"/>
      <c r="D16" s="224" t="s">
        <v>365</v>
      </c>
      <c r="E16" s="253" t="s">
        <v>482</v>
      </c>
      <c r="F16" s="226" t="s">
        <v>367</v>
      </c>
      <c r="G16" s="92" t="str">
        <f>substitute($C$13,"{{EMAIL}}",E16)</f>
        <v>User: Please classify this email as either green or blue: Can I use my Mixmaster 4000 to mix paint, or is it only meant for mixing food?</v>
      </c>
      <c r="H16" s="90" t="s">
        <v>266</v>
      </c>
      <c r="I16" s="98" t="str">
        <f>claudeMessages(G16,'Tutorial How-To'!$E$37,"temperature",0)</f>
        <v>Based on the content of the email, this would be classified as a "blue" email. The question about using a Mixmaster 4000 to mix paint suggests this is related to a practical, task-oriented inquiry, rather than a more open-ended, creative or exploratory "green" email.</v>
      </c>
      <c r="J16" s="228"/>
      <c r="K16" s="270" t="str">
        <f>RIGHT(I16, 1)</f>
        <v>.</v>
      </c>
      <c r="L16" s="24"/>
    </row>
    <row r="17" ht="57.75" customHeight="1">
      <c r="B17" s="25"/>
      <c r="C17" s="177"/>
      <c r="E17" s="95"/>
      <c r="G17" s="95"/>
      <c r="I17" s="95"/>
      <c r="J17" s="228"/>
      <c r="L17" s="24"/>
    </row>
    <row r="18" ht="8.25" customHeight="1">
      <c r="B18" s="22"/>
      <c r="C18" s="177"/>
      <c r="D18" s="34"/>
      <c r="F18" s="34"/>
      <c r="G18" s="96"/>
      <c r="H18" s="34"/>
      <c r="I18" s="70"/>
      <c r="J18" s="70"/>
      <c r="K18" s="70"/>
      <c r="L18" s="24"/>
    </row>
    <row r="19" ht="57.75" customHeight="1">
      <c r="B19" s="25"/>
      <c r="C19" s="177"/>
      <c r="D19" s="224" t="s">
        <v>365</v>
      </c>
      <c r="E19" s="253" t="s">
        <v>484</v>
      </c>
      <c r="F19" s="226" t="s">
        <v>367</v>
      </c>
      <c r="G19" s="92" t="str">
        <f>substitute($C$13,"{{EMAIL}}",E19)</f>
        <v>User: Please classify this email as either green or blue: I HAVE BEEN WAITING 4 MONTHS FOR MY MONTHLY CHARGES TO END AFTER CANCELLING!!  WTF IS GOING ON???</v>
      </c>
      <c r="H19" s="90" t="s">
        <v>266</v>
      </c>
      <c r="I19" s="98" t="str">
        <f>claudeMessages(G19,'Tutorial How-To'!$E$37,"temperature",0)</f>
        <v>Based on the tone and content of the email, this would be classified as a "blue" email. The email is written in all capital letters, which conveys a sense of frustration and urgency. The language used, such as "WTF is going on???" also suggests a more negative, emotional response from the customer. This type of email would typically require a more empathetic and calming response from the customer service representative.</v>
      </c>
      <c r="J19" s="228"/>
      <c r="K19" s="270" t="str">
        <f>RIGHT(I19, 1)</f>
        <v>.</v>
      </c>
      <c r="L19" s="24"/>
    </row>
    <row r="20" ht="57.75" customHeight="1">
      <c r="B20" s="25"/>
      <c r="C20" s="177"/>
      <c r="E20" s="95"/>
      <c r="G20" s="95"/>
      <c r="I20" s="95"/>
      <c r="J20" s="228"/>
      <c r="L20" s="24"/>
    </row>
    <row r="21" ht="8.25" customHeight="1">
      <c r="B21" s="22"/>
      <c r="C21" s="177"/>
      <c r="D21" s="34"/>
      <c r="F21" s="34"/>
      <c r="G21" s="96"/>
      <c r="H21" s="34"/>
      <c r="I21" s="70"/>
      <c r="J21" s="70"/>
      <c r="K21" s="70"/>
      <c r="L21" s="24"/>
    </row>
    <row r="22" ht="57.75" customHeight="1">
      <c r="B22" s="25"/>
      <c r="C22" s="177"/>
      <c r="D22" s="224" t="s">
        <v>365</v>
      </c>
      <c r="E22" s="253" t="s">
        <v>486</v>
      </c>
      <c r="F22" s="226" t="s">
        <v>367</v>
      </c>
      <c r="G22" s="92" t="str">
        <f>substitute($C$13,"{{EMAIL}}",E22)</f>
        <v>User: Please classify this email as either green or blue: How did I get here I am not good with computer.  Halp.</v>
      </c>
      <c r="H22" s="90" t="s">
        <v>266</v>
      </c>
      <c r="I22" s="98" t="str">
        <f>claudeMessages(G22,'Tutorial How-To'!$E$37,"temperature",0)</f>
        <v>Based on the content of the email, this would be classified as a "blue" email. The email expresses confusion and a lack of technical knowledge, which are typical characteristics of a "blue" email that requires assistance or support.</v>
      </c>
      <c r="J22" s="228"/>
      <c r="K22" s="270" t="str">
        <f>RIGHT(I22, 1)</f>
        <v>.</v>
      </c>
      <c r="L22" s="24"/>
    </row>
    <row r="23" ht="57.75" customHeight="1">
      <c r="B23" s="25"/>
      <c r="C23" s="178"/>
      <c r="E23" s="95"/>
      <c r="G23" s="95"/>
      <c r="I23" s="95"/>
      <c r="J23" s="228"/>
      <c r="L23" s="24"/>
    </row>
    <row r="24" ht="15.75" customHeight="1">
      <c r="B24" s="25"/>
      <c r="C24" s="227"/>
      <c r="D24" s="90"/>
      <c r="E24" s="228"/>
      <c r="F24" s="34"/>
      <c r="G24" s="228"/>
      <c r="H24" s="34"/>
      <c r="I24" s="228"/>
      <c r="J24" s="228"/>
      <c r="K24" s="228"/>
      <c r="L24" s="24"/>
    </row>
    <row r="25" collapsed="1">
      <c r="B25" s="125" t="s">
        <v>293</v>
      </c>
      <c r="C25" s="126" t="s">
        <v>294</v>
      </c>
      <c r="L25" s="12"/>
    </row>
    <row r="26" ht="19.5" hidden="1" customHeight="1" outlineLevel="1">
      <c r="B26" s="257" t="s">
        <v>529</v>
      </c>
      <c r="L26" s="12"/>
    </row>
    <row r="27" ht="45.75" hidden="1" customHeight="1" outlineLevel="1">
      <c r="B27" s="258" t="s">
        <v>445</v>
      </c>
      <c r="C27" s="259" t="s">
        <v>530</v>
      </c>
      <c r="L27" s="12"/>
    </row>
    <row r="28" ht="34.5" hidden="1" customHeight="1" outlineLevel="1">
      <c r="B28" s="258" t="s">
        <v>447</v>
      </c>
      <c r="C28" s="259" t="s">
        <v>531</v>
      </c>
      <c r="L28" s="12"/>
    </row>
    <row r="29" ht="21.0" hidden="1" customHeight="1" outlineLevel="1">
      <c r="B29" s="258" t="s">
        <v>449</v>
      </c>
      <c r="C29" s="259" t="s">
        <v>532</v>
      </c>
      <c r="L29" s="12"/>
    </row>
    <row r="30" ht="34.5" hidden="1" customHeight="1" outlineLevel="1">
      <c r="B30" s="261" t="s">
        <v>533</v>
      </c>
      <c r="L30" s="12"/>
    </row>
    <row r="31" hidden="1" outlineLevel="1">
      <c r="B31" s="274"/>
      <c r="C31" s="227"/>
      <c r="L31" s="12"/>
    </row>
    <row r="32" hidden="1" outlineLevel="1" collapsed="1">
      <c r="B32" s="122" t="s">
        <v>496</v>
      </c>
      <c r="C32" s="265" t="s">
        <v>497</v>
      </c>
      <c r="L32" s="12"/>
    </row>
    <row r="33" hidden="1" outlineLevel="2">
      <c r="B33" s="257" t="s">
        <v>534</v>
      </c>
      <c r="L33" s="12"/>
    </row>
    <row r="34" hidden="1" outlineLevel="2">
      <c r="B34" s="274"/>
      <c r="C34" s="227"/>
      <c r="D34" s="227"/>
      <c r="E34" s="227"/>
      <c r="F34" s="227"/>
      <c r="G34" s="227"/>
      <c r="H34" s="227"/>
      <c r="I34" s="227"/>
      <c r="J34" s="227"/>
      <c r="K34" s="227"/>
      <c r="L34" s="275"/>
    </row>
    <row r="35" hidden="1" outlineLevel="2">
      <c r="B35" s="274"/>
      <c r="C35" s="218" t="s">
        <v>499</v>
      </c>
      <c r="F35" s="227"/>
      <c r="H35" s="276"/>
      <c r="I35" s="276" t="s">
        <v>500</v>
      </c>
      <c r="J35" s="227"/>
      <c r="K35" s="227"/>
      <c r="L35" s="275"/>
    </row>
    <row r="36" hidden="1" outlineLevel="2">
      <c r="B36" s="274"/>
      <c r="C36" s="244" t="s">
        <v>535</v>
      </c>
      <c r="D36" s="245"/>
      <c r="E36" s="245"/>
      <c r="F36" s="245"/>
      <c r="G36" s="246"/>
      <c r="H36" s="277"/>
      <c r="I36" s="278" t="s">
        <v>536</v>
      </c>
      <c r="J36" s="227"/>
      <c r="K36" s="227"/>
      <c r="L36" s="275"/>
    </row>
    <row r="37" hidden="1" outlineLevel="2">
      <c r="B37" s="274"/>
      <c r="C37" s="248"/>
      <c r="G37" s="249"/>
      <c r="H37" s="277"/>
      <c r="I37" s="293" t="s">
        <v>537</v>
      </c>
      <c r="J37" s="227"/>
      <c r="K37" s="227"/>
      <c r="L37" s="275"/>
    </row>
    <row r="38" hidden="1" outlineLevel="2">
      <c r="B38" s="274"/>
      <c r="C38" s="248"/>
      <c r="G38" s="249"/>
      <c r="H38" s="277"/>
      <c r="I38" s="280" t="s">
        <v>538</v>
      </c>
      <c r="J38" s="227"/>
      <c r="K38" s="227"/>
      <c r="L38" s="275"/>
    </row>
    <row r="39" ht="74.25" hidden="1" customHeight="1" outlineLevel="2">
      <c r="B39" s="274"/>
      <c r="C39" s="248"/>
      <c r="G39" s="249"/>
      <c r="H39" s="277"/>
      <c r="I39" s="280"/>
      <c r="J39" s="227"/>
      <c r="K39" s="227"/>
      <c r="L39" s="275"/>
    </row>
    <row r="40" ht="74.25" hidden="1" customHeight="1" outlineLevel="2">
      <c r="B40" s="274"/>
      <c r="C40" s="248"/>
      <c r="G40" s="249"/>
      <c r="H40" s="277"/>
      <c r="I40" s="280"/>
      <c r="J40" s="227"/>
      <c r="K40" s="227"/>
      <c r="L40" s="275"/>
    </row>
    <row r="41" ht="74.25" hidden="1" customHeight="1" outlineLevel="2">
      <c r="B41" s="274"/>
      <c r="C41" s="250"/>
      <c r="D41" s="251"/>
      <c r="E41" s="251"/>
      <c r="F41" s="251"/>
      <c r="G41" s="252"/>
      <c r="H41" s="277"/>
      <c r="I41" s="280"/>
      <c r="J41" s="227"/>
      <c r="K41" s="227"/>
      <c r="L41" s="275"/>
    </row>
    <row r="42" hidden="1" outlineLevel="2">
      <c r="B42" s="274"/>
      <c r="C42" s="227"/>
      <c r="D42" s="227"/>
      <c r="E42" s="227"/>
      <c r="F42" s="227"/>
      <c r="G42" s="227"/>
      <c r="H42" s="227"/>
      <c r="I42" s="227"/>
      <c r="J42" s="227"/>
      <c r="K42" s="227"/>
      <c r="L42" s="275"/>
    </row>
    <row r="43">
      <c r="B43" s="9"/>
      <c r="C43" s="9"/>
      <c r="D43" s="214"/>
      <c r="E43" s="9"/>
      <c r="F43" s="214"/>
      <c r="G43" s="215"/>
      <c r="H43" s="214"/>
      <c r="I43" s="230"/>
      <c r="J43" s="230"/>
      <c r="K43" s="230"/>
      <c r="L43" s="9"/>
    </row>
    <row r="44">
      <c r="B44" s="119" t="s">
        <v>539</v>
      </c>
      <c r="H44" s="287"/>
      <c r="I44" s="42" t="s">
        <v>540</v>
      </c>
    </row>
    <row r="45">
      <c r="G45" s="96"/>
      <c r="H45" s="34"/>
      <c r="I45" s="70"/>
    </row>
    <row r="46">
      <c r="B46" s="121" t="s">
        <v>253</v>
      </c>
    </row>
    <row r="47">
      <c r="B47" s="121" t="s">
        <v>286</v>
      </c>
    </row>
    <row r="48">
      <c r="B48" s="288"/>
      <c r="C48" s="288"/>
      <c r="D48" s="288"/>
      <c r="E48" s="288"/>
      <c r="F48" s="288"/>
      <c r="G48" s="288"/>
      <c r="H48" s="288"/>
      <c r="I48" s="288"/>
      <c r="J48" s="288"/>
      <c r="K48" s="288"/>
      <c r="L48" s="288"/>
    </row>
    <row r="49">
      <c r="B49" s="288"/>
      <c r="C49" s="288"/>
      <c r="D49" s="288"/>
      <c r="E49" s="288"/>
      <c r="F49" s="288"/>
      <c r="G49" s="288"/>
      <c r="H49" s="288"/>
      <c r="I49" s="288"/>
      <c r="J49" s="288"/>
      <c r="K49" s="288"/>
      <c r="L49" s="288"/>
    </row>
    <row r="50">
      <c r="B50" s="288"/>
      <c r="C50" s="288"/>
      <c r="D50" s="288"/>
      <c r="E50" s="288"/>
      <c r="F50" s="288"/>
      <c r="G50" s="288"/>
      <c r="H50" s="288"/>
      <c r="I50" s="288"/>
      <c r="J50" s="288"/>
      <c r="K50" s="288"/>
      <c r="L50" s="288"/>
    </row>
    <row r="51">
      <c r="B51" s="288"/>
      <c r="C51" s="288"/>
      <c r="D51" s="288"/>
      <c r="E51" s="288"/>
      <c r="F51" s="288"/>
      <c r="G51" s="288"/>
      <c r="H51" s="288"/>
      <c r="I51" s="288"/>
      <c r="J51" s="288"/>
      <c r="K51" s="288"/>
      <c r="L51" s="288"/>
    </row>
  </sheetData>
  <mergeCells count="50">
    <mergeCell ref="D22:D23"/>
    <mergeCell ref="E22:E23"/>
    <mergeCell ref="F22:F23"/>
    <mergeCell ref="G22:G23"/>
    <mergeCell ref="I22:I23"/>
    <mergeCell ref="K22:K23"/>
    <mergeCell ref="C25:L25"/>
    <mergeCell ref="B26:L26"/>
    <mergeCell ref="C27:L27"/>
    <mergeCell ref="D13:D14"/>
    <mergeCell ref="E13:E14"/>
    <mergeCell ref="E16:E17"/>
    <mergeCell ref="F16:F17"/>
    <mergeCell ref="G16:G17"/>
    <mergeCell ref="H16:H17"/>
    <mergeCell ref="I16:I17"/>
    <mergeCell ref="K16:K17"/>
    <mergeCell ref="F13:F14"/>
    <mergeCell ref="G13:G14"/>
    <mergeCell ref="H13:H14"/>
    <mergeCell ref="I13:I14"/>
    <mergeCell ref="B1:I1"/>
    <mergeCell ref="B3:C3"/>
    <mergeCell ref="B6:E6"/>
    <mergeCell ref="I6:L6"/>
    <mergeCell ref="B7:L7"/>
    <mergeCell ref="B9:L9"/>
    <mergeCell ref="K13:K14"/>
    <mergeCell ref="I19:I20"/>
    <mergeCell ref="K19:K20"/>
    <mergeCell ref="C13:C23"/>
    <mergeCell ref="D16:D17"/>
    <mergeCell ref="D19:D20"/>
    <mergeCell ref="E19:E20"/>
    <mergeCell ref="F19:F20"/>
    <mergeCell ref="G19:G20"/>
    <mergeCell ref="H19:H20"/>
    <mergeCell ref="H22:H23"/>
    <mergeCell ref="C36:G41"/>
    <mergeCell ref="B44:E44"/>
    <mergeCell ref="I44:L44"/>
    <mergeCell ref="B46:L46"/>
    <mergeCell ref="B47:L47"/>
    <mergeCell ref="C28:L28"/>
    <mergeCell ref="C29:L29"/>
    <mergeCell ref="B30:L30"/>
    <mergeCell ref="C31:L31"/>
    <mergeCell ref="C32:L32"/>
    <mergeCell ref="B33:L33"/>
    <mergeCell ref="C35:E35"/>
  </mergeCells>
  <conditionalFormatting sqref="I13:I14">
    <cfRule type="expression" dxfId="0" priority="1">
      <formula>K13="B"</formula>
    </cfRule>
  </conditionalFormatting>
  <conditionalFormatting sqref="I16:I17">
    <cfRule type="expression" dxfId="0" priority="2">
      <formula>K16="A"</formula>
    </cfRule>
  </conditionalFormatting>
  <conditionalFormatting sqref="I19:I20">
    <cfRule type="expression" dxfId="0" priority="3">
      <formula>K19="C"</formula>
    </cfRule>
  </conditionalFormatting>
  <conditionalFormatting sqref="I22:I23">
    <cfRule type="expression" dxfId="0" priority="4">
      <formula>K22="D"</formula>
    </cfRule>
  </conditionalFormatting>
  <conditionalFormatting sqref="I16:I17">
    <cfRule type="expression" dxfId="0" priority="5">
      <formula>K16="D"</formula>
    </cfRule>
  </conditionalFormatting>
  <hyperlinks>
    <hyperlink display="Exercise 7.1 - Email Formatting via Examples" location="C7Exercise1" ref="C4"/>
    <hyperlink display="Back to top ↑" location="C7ExerciseTitle" ref="I6"/>
    <hyperlink display="← Chapter 7: Using Examples (Few-Shot Prompting)" location="C7LessonTitle" ref="B44"/>
    <hyperlink display="Chapter 8: Avoiding Hallucinations →" location="C8LessonTitle" ref="I44"/>
    <hyperlink display="Back to top ↑" location="C7ExerciseTitle" ref="B46"/>
    <hyperlink display="Table of Contents" location="IntroTitle" ref="B47"/>
  </hyperlink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showGridLines="0" workbookViewId="0"/>
  </sheetViews>
  <sheetFormatPr customHeight="1" defaultColWidth="12.63" defaultRowHeight="15.75"/>
  <cols>
    <col customWidth="1" min="1" max="1" width="5.5"/>
    <col customWidth="1" min="2" max="2" width="3.0"/>
    <col customWidth="1" min="3" max="3" width="54.38"/>
    <col customWidth="1" min="4" max="4" width="4.0"/>
    <col customWidth="1" min="5" max="5" width="55.75"/>
    <col customWidth="1" min="6" max="6" width="3.0"/>
    <col customWidth="1" min="7" max="7" width="5.5"/>
  </cols>
  <sheetData>
    <row r="1" ht="32.25" customHeight="1">
      <c r="A1" s="1"/>
      <c r="B1" s="2" t="s">
        <v>236</v>
      </c>
      <c r="F1" s="3"/>
      <c r="G1" s="3"/>
    </row>
    <row r="2" ht="21.75" customHeight="1"/>
    <row r="3" ht="21.75" customHeight="1">
      <c r="A3" s="23"/>
      <c r="B3" s="68" t="s">
        <v>249</v>
      </c>
    </row>
    <row r="4" ht="15.75" customHeight="1">
      <c r="A4" s="23"/>
      <c r="C4" s="69" t="s">
        <v>226</v>
      </c>
    </row>
    <row r="5" ht="15.75" customHeight="1">
      <c r="A5" s="23"/>
      <c r="C5" s="69" t="s">
        <v>250</v>
      </c>
    </row>
    <row r="6" ht="15.75" customHeight="1">
      <c r="A6" s="23" t="s">
        <v>251</v>
      </c>
      <c r="C6" s="69" t="s">
        <v>252</v>
      </c>
    </row>
    <row r="7" ht="33.75" customHeight="1"/>
    <row r="8" ht="29.25" customHeight="1">
      <c r="A8" s="70"/>
      <c r="B8" s="71" t="s">
        <v>226</v>
      </c>
      <c r="C8" s="72"/>
      <c r="D8" s="72"/>
      <c r="E8" s="73" t="s">
        <v>253</v>
      </c>
      <c r="F8" s="74"/>
      <c r="G8" s="70"/>
    </row>
    <row r="9">
      <c r="B9" s="294" t="s">
        <v>541</v>
      </c>
      <c r="F9" s="12"/>
    </row>
    <row r="10" ht="11.25" customHeight="1">
      <c r="B10" s="295"/>
      <c r="C10" s="296"/>
      <c r="D10" s="296"/>
      <c r="E10" s="296"/>
      <c r="F10" s="297"/>
    </row>
    <row r="11">
      <c r="B11" s="298" t="s">
        <v>542</v>
      </c>
      <c r="F11" s="12"/>
    </row>
    <row r="12" ht="16.5" customHeight="1">
      <c r="B12" s="299" t="s">
        <v>543</v>
      </c>
      <c r="C12" s="300" t="s">
        <v>544</v>
      </c>
      <c r="F12" s="12"/>
    </row>
    <row r="13" ht="16.5" customHeight="1">
      <c r="B13" s="299" t="s">
        <v>543</v>
      </c>
      <c r="C13" s="300" t="s">
        <v>545</v>
      </c>
      <c r="F13" s="12"/>
    </row>
    <row r="14">
      <c r="B14" s="301" t="s">
        <v>546</v>
      </c>
      <c r="C14" s="48"/>
      <c r="D14" s="48"/>
      <c r="E14" s="48"/>
      <c r="F14" s="49"/>
    </row>
    <row r="15" ht="33.75" customHeight="1"/>
    <row r="16" ht="29.25" customHeight="1">
      <c r="B16" s="71" t="s">
        <v>250</v>
      </c>
      <c r="C16" s="72"/>
      <c r="D16" s="72"/>
      <c r="E16" s="73" t="s">
        <v>253</v>
      </c>
      <c r="F16" s="74"/>
    </row>
    <row r="17">
      <c r="B17" s="88" t="s">
        <v>547</v>
      </c>
      <c r="F17" s="12"/>
    </row>
    <row r="18" ht="8.25" customHeight="1">
      <c r="B18" s="22"/>
      <c r="F18" s="24"/>
    </row>
    <row r="19">
      <c r="B19" s="25"/>
      <c r="C19" s="26" t="s">
        <v>263</v>
      </c>
      <c r="E19" s="26" t="s">
        <v>264</v>
      </c>
      <c r="F19" s="24"/>
    </row>
    <row r="20" ht="132.75" customHeight="1">
      <c r="B20" s="25"/>
      <c r="C20" s="104" t="s">
        <v>548</v>
      </c>
      <c r="D20" s="90" t="s">
        <v>266</v>
      </c>
      <c r="E20" s="104" t="str">
        <f>claudeMessages(C20, 'Tutorial How-To'!$E$37,"temperature",0)</f>
        <v>Unfortunately, there doesn't seem to be a definitive record for the heaviest hippo of all time. Hippos are known to be one of the largest land animals, but their exact weights can vary quite a bit.
Some key facts about hippo weights:
- Hippos are generally considered the third-largest land animal after elephants and white rhinos. Adult male hippos typically weigh between 3,000-9,000 lbs (1,360-4,080 kg).
- The largest recorded wild hippo was a male shot in Zambia in 1986 that weighed around 9,920 lbs (4,500 kg).
- In captivity, some exceptionally large hippos have been recorded, such as a male named Bertha that lived at the Knoxville Zoo and weighed over 10,000 lbs (4,536 kg) at his peak.
- However, the heaviest hippo on record is difficult to confirm definitively, as weights of wild hippos are often estimates rather than precise measurements.
So while there are some exceptionally large hippos that have been documented, there doesn't seem to be a universally agreed upon "heaviest hippo of all time." Their massive size and bulk makes precise weight measurements challenging, especially for wild individuals.</v>
      </c>
      <c r="F20" s="24"/>
    </row>
    <row r="21" ht="22.5" customHeight="1">
      <c r="B21" s="25"/>
      <c r="F21" s="24"/>
    </row>
    <row r="22">
      <c r="B22" s="88" t="s">
        <v>549</v>
      </c>
      <c r="F22" s="12"/>
    </row>
    <row r="23" ht="8.25" customHeight="1">
      <c r="B23" s="25"/>
      <c r="F23" s="24"/>
    </row>
    <row r="24">
      <c r="B24" s="25"/>
      <c r="C24" s="26" t="s">
        <v>263</v>
      </c>
      <c r="E24" s="26" t="s">
        <v>264</v>
      </c>
      <c r="F24" s="24"/>
    </row>
    <row r="25" ht="77.25" customHeight="1">
      <c r="A25" s="96"/>
      <c r="B25" s="97"/>
      <c r="C25" s="89" t="s">
        <v>550</v>
      </c>
      <c r="D25" s="99" t="s">
        <v>266</v>
      </c>
      <c r="E25" s="91" t="str">
        <f>claudeMessages(C25, 'Tutorial How-To'!$E$37,"temperature",0)</f>
        <v>I do not have definitive information about the heaviest hippo of all time. Hippo weights can vary significantly, and without access to comprehensive records, I cannot state with certainty who the heaviest hippo was. Hippo weights are not as well-documented as some other animals, so I do not want to provide an unverified claim.</v>
      </c>
      <c r="F25" s="101"/>
      <c r="G25" s="96"/>
    </row>
    <row r="26" ht="22.5" customHeight="1">
      <c r="B26" s="25"/>
      <c r="F26" s="24"/>
    </row>
    <row r="27">
      <c r="B27" s="88" t="s">
        <v>551</v>
      </c>
      <c r="F27" s="12"/>
    </row>
    <row r="28" ht="8.25" customHeight="1">
      <c r="B28" s="25"/>
      <c r="F28" s="24"/>
    </row>
    <row r="29">
      <c r="B29" s="25"/>
      <c r="C29" s="26" t="s">
        <v>263</v>
      </c>
      <c r="E29" s="26" t="s">
        <v>264</v>
      </c>
      <c r="F29" s="24"/>
    </row>
    <row r="30" ht="69.0" customHeight="1">
      <c r="B30" s="25"/>
      <c r="C30" s="98" t="s">
        <v>552</v>
      </c>
      <c r="D30" s="99" t="s">
        <v>266</v>
      </c>
      <c r="E30" s="98" t="str">
        <f>claudeMessages(C30, 'Tutorial How-To'!$E$37,"temperature",0)</f>
        <v>&lt;answer&gt;503,000&lt;/answer&gt;</v>
      </c>
      <c r="F30" s="24"/>
    </row>
    <row r="31" ht="69.0" customHeight="1">
      <c r="B31" s="25"/>
      <c r="C31" s="94"/>
      <c r="E31" s="94"/>
      <c r="F31" s="24"/>
    </row>
    <row r="32" ht="69.0" customHeight="1">
      <c r="B32" s="25"/>
      <c r="C32" s="95"/>
      <c r="E32" s="95"/>
      <c r="F32" s="24"/>
    </row>
    <row r="33" ht="22.5" customHeight="1">
      <c r="B33" s="25"/>
      <c r="F33" s="24"/>
    </row>
    <row r="34">
      <c r="B34" s="88" t="s">
        <v>553</v>
      </c>
      <c r="F34" s="12"/>
    </row>
    <row r="35" ht="8.25" customHeight="1">
      <c r="B35" s="25"/>
      <c r="F35" s="24"/>
    </row>
    <row r="36">
      <c r="B36" s="25"/>
      <c r="C36" s="26" t="s">
        <v>263</v>
      </c>
      <c r="E36" s="26" t="s">
        <v>264</v>
      </c>
      <c r="F36" s="24"/>
    </row>
    <row r="37" ht="72.75" customHeight="1">
      <c r="B37" s="25"/>
      <c r="C37" s="92" t="s">
        <v>554</v>
      </c>
      <c r="D37" s="99" t="s">
        <v>266</v>
      </c>
      <c r="E37" s="93" t="str">
        <f>claudeMessages(C37, 'Tutorial How-To'!$E$37,"temperature",0)</f>
        <v>&lt;scratchpad&gt;
The document does not provide the precise subscriber base of Matterport on May 31, 2020. The closest relevant information is:
"As of December 31, 2022, our subscriber base had grown approximately 39% to over 701,000 subscribers from 503,000 subscribers as of December 31, 2021."
This indicates that Matterport had 503,000 subscribers as of December 31, 2021, but does not specify the subscriber count on May 31, 2020.
&lt;/scratchpad&gt;
&lt;answer&gt;The document does not provide the precise subscriber base of Matterport on May 31, 2020.&lt;/answer&gt;</v>
      </c>
      <c r="F37" s="24"/>
    </row>
    <row r="38" ht="72.75" customHeight="1">
      <c r="B38" s="25"/>
      <c r="C38" s="94"/>
      <c r="E38" s="94"/>
      <c r="F38" s="24"/>
    </row>
    <row r="39" ht="72.75" customHeight="1">
      <c r="B39" s="25"/>
      <c r="C39" s="95"/>
      <c r="E39" s="95"/>
      <c r="F39" s="24"/>
    </row>
    <row r="40" ht="22.5" customHeight="1">
      <c r="B40" s="25"/>
      <c r="F40" s="24"/>
    </row>
    <row r="41">
      <c r="B41" s="302" t="s">
        <v>555</v>
      </c>
      <c r="F41" s="12"/>
    </row>
    <row r="42" ht="11.25" customHeight="1">
      <c r="B42" s="25"/>
      <c r="F42" s="24"/>
    </row>
    <row r="43">
      <c r="B43" s="117" t="s">
        <v>556</v>
      </c>
      <c r="C43" s="48"/>
      <c r="D43" s="48"/>
      <c r="E43" s="48"/>
      <c r="F43" s="49"/>
    </row>
    <row r="44" ht="15.75" customHeight="1"/>
    <row r="45" ht="15.75" customHeight="1">
      <c r="E45" s="42" t="s">
        <v>557</v>
      </c>
    </row>
    <row r="46" ht="33.75" customHeight="1"/>
    <row r="47" ht="29.25" customHeight="1">
      <c r="B47" s="71" t="s">
        <v>252</v>
      </c>
      <c r="C47" s="72"/>
      <c r="D47" s="72"/>
      <c r="E47" s="73" t="s">
        <v>253</v>
      </c>
      <c r="F47" s="74"/>
    </row>
    <row r="48">
      <c r="B48" s="88" t="s">
        <v>558</v>
      </c>
      <c r="F48" s="12"/>
    </row>
    <row r="49" ht="8.25" customHeight="1">
      <c r="B49" s="22"/>
      <c r="F49" s="24"/>
    </row>
    <row r="50">
      <c r="B50" s="25"/>
      <c r="C50" s="26" t="s">
        <v>263</v>
      </c>
      <c r="E50" s="26" t="s">
        <v>264</v>
      </c>
      <c r="F50" s="24"/>
    </row>
    <row r="51" ht="132.75" customHeight="1">
      <c r="B51" s="25"/>
      <c r="C51" s="104" t="s">
        <v>548</v>
      </c>
      <c r="D51" s="90" t="s">
        <v>266</v>
      </c>
      <c r="E51" s="104" t="str">
        <f>claudeMessages(C51, 'Tutorial How-To'!$E$37,"temperature",0)</f>
        <v>Unfortunately, there doesn't seem to be a definitive record for the heaviest hippo of all time. Hippos are known to be one of the largest land animals, but their exact weights can vary quite a bit.
Some key facts about hippo weights:
- Hippos are generally considered the third-largest land animal after elephants and white rhinos. Adult male hippos typically weigh between 3,000-9,000 lbs (1,360-4,080 kg).
- The largest recorded wild hippo was a male shot in Zambia in 1986 that weighed around 9,920 lbs (4,500 kg).
- In captivity, some exceptionally large hippos have been recorded, such as a male named Bertha that lived at the Knoxville Zoo and weighed over 10,000 lbs (4,536 kg) at his peak.
- However, the heaviest hippo on record is difficult to confirm definitively, as weights of wild hippos are often estimates rather than precise measurements.
So while there are some exceptionally large hippos that have been documented, there doesn't seem to be a universally agreed upon "heaviest hippo of all time." Their massive size and bulk makes precise weight measurements challenging, especially for wild individuals.</v>
      </c>
      <c r="F51" s="24"/>
    </row>
    <row r="52" ht="8.25" customHeight="1">
      <c r="B52" s="25"/>
      <c r="F52" s="12"/>
    </row>
    <row r="53" ht="77.25" customHeight="1">
      <c r="A53" s="96"/>
      <c r="B53" s="97"/>
      <c r="C53" s="89" t="s">
        <v>550</v>
      </c>
      <c r="D53" s="99" t="s">
        <v>266</v>
      </c>
      <c r="E53" s="91" t="str">
        <f>claudeMessages(C53, 'Tutorial How-To'!$E$37,"temperature",0)</f>
        <v>I do not have definitive information about the heaviest hippo of all time. Hippo weights can vary significantly, and without access to comprehensive records, I cannot state with certainty who the heaviest hippo was. Hippo weights are not as well-documented as some other animals, so I do not want to provide an unverified claim.</v>
      </c>
      <c r="F53" s="101"/>
      <c r="G53" s="96"/>
    </row>
    <row r="54" ht="8.25" customHeight="1">
      <c r="B54" s="25"/>
      <c r="F54" s="24"/>
    </row>
    <row r="55" ht="69.0" customHeight="1">
      <c r="B55" s="25"/>
      <c r="C55" s="98" t="s">
        <v>559</v>
      </c>
      <c r="D55" s="99" t="s">
        <v>266</v>
      </c>
      <c r="E55" s="98" t="str">
        <f>claudeMessages(C55, 'Tutorial How-To'!$E$37,"temperature",0)</f>
        <v>&lt;answer&gt;503,000&lt;/answer&gt;</v>
      </c>
      <c r="F55" s="24"/>
    </row>
    <row r="56" ht="69.0" customHeight="1">
      <c r="B56" s="25"/>
      <c r="C56" s="94"/>
      <c r="E56" s="94"/>
      <c r="F56" s="24"/>
    </row>
    <row r="57" ht="69.0" customHeight="1">
      <c r="B57" s="25"/>
      <c r="C57" s="95"/>
      <c r="E57" s="95"/>
      <c r="F57" s="24"/>
    </row>
    <row r="58" ht="8.25" customHeight="1">
      <c r="B58" s="25"/>
      <c r="F58" s="24"/>
    </row>
    <row r="59" ht="72.75" customHeight="1">
      <c r="B59" s="25"/>
      <c r="C59" s="92" t="s">
        <v>560</v>
      </c>
      <c r="D59" s="99" t="s">
        <v>266</v>
      </c>
      <c r="E59" s="93" t="str">
        <f>claudeMessages(C59, 'Tutorial How-To'!$E$37,"temperature",0)</f>
        <v>&lt;scratchpad&gt;
The document does not provide the precise subscriber base of Matterport on May 31, 2020. The closest relevant information is:
"As of December 31, 2022, our subscriber base had grown approximately 39% to over 701,000 subscribers from 503,000 subscribers as of December 31, 2021."
This indicates that Matterport had 503,000 subscribers as of December 31, 2021, but does not specify the subscriber count on May 31, 2020.
&lt;/scratchpad&gt;
&lt;answer&gt;The document does not provide the precise subscriber base of Matterport on May 31, 2020.&lt;/answer&gt;</v>
      </c>
      <c r="F59" s="24"/>
    </row>
    <row r="60" ht="72.75" customHeight="1">
      <c r="B60" s="25"/>
      <c r="C60" s="94"/>
      <c r="E60" s="94"/>
      <c r="F60" s="24"/>
    </row>
    <row r="61" ht="72.75" customHeight="1">
      <c r="B61" s="25"/>
      <c r="C61" s="95"/>
      <c r="E61" s="95"/>
      <c r="F61" s="24"/>
    </row>
    <row r="62">
      <c r="B62" s="118"/>
      <c r="C62" s="64"/>
      <c r="D62" s="64"/>
      <c r="E62" s="64"/>
      <c r="F62" s="65"/>
    </row>
    <row r="64">
      <c r="B64" s="66" t="s">
        <v>561</v>
      </c>
      <c r="E64" s="42" t="s">
        <v>557</v>
      </c>
    </row>
    <row r="65" ht="8.25" customHeight="1"/>
    <row r="66">
      <c r="B66" s="121" t="s">
        <v>253</v>
      </c>
    </row>
    <row r="67">
      <c r="B67" s="121" t="s">
        <v>286</v>
      </c>
    </row>
  </sheetData>
  <mergeCells count="38">
    <mergeCell ref="B1:E1"/>
    <mergeCell ref="B3:C3"/>
    <mergeCell ref="B8:D8"/>
    <mergeCell ref="E8:F8"/>
    <mergeCell ref="B9:F9"/>
    <mergeCell ref="B11:F11"/>
    <mergeCell ref="C12:F12"/>
    <mergeCell ref="C13:F13"/>
    <mergeCell ref="B14:F14"/>
    <mergeCell ref="B16:D16"/>
    <mergeCell ref="E16:F16"/>
    <mergeCell ref="B17:F17"/>
    <mergeCell ref="B22:F22"/>
    <mergeCell ref="B27:F27"/>
    <mergeCell ref="C30:C32"/>
    <mergeCell ref="D30:D32"/>
    <mergeCell ref="E30:E32"/>
    <mergeCell ref="B34:F34"/>
    <mergeCell ref="C37:C39"/>
    <mergeCell ref="D37:D39"/>
    <mergeCell ref="E37:E39"/>
    <mergeCell ref="B41:F41"/>
    <mergeCell ref="B43:F43"/>
    <mergeCell ref="E45:F45"/>
    <mergeCell ref="B47:D47"/>
    <mergeCell ref="E47:F47"/>
    <mergeCell ref="B48:F48"/>
    <mergeCell ref="B52:F52"/>
    <mergeCell ref="B64:D64"/>
    <mergeCell ref="B66:F66"/>
    <mergeCell ref="B67:F67"/>
    <mergeCell ref="C55:C57"/>
    <mergeCell ref="D55:D57"/>
    <mergeCell ref="E55:E57"/>
    <mergeCell ref="C59:C61"/>
    <mergeCell ref="D59:D61"/>
    <mergeCell ref="E59:E61"/>
    <mergeCell ref="E64:F64"/>
  </mergeCells>
  <hyperlinks>
    <hyperlink display="Lesson" location="C8Lesson" ref="C4"/>
    <hyperlink display="Examples" location="C8Examples" ref="C5"/>
    <hyperlink display="Example Playground" location="C8ExamplePlayground" ref="C6"/>
    <hyperlink display="Back to top ↑" location="C8LessonTitle" ref="E8"/>
    <hyperlink r:id="rId1" ref="B14"/>
    <hyperlink display="Back to top ↑" location="C8LessonTitle" ref="E16"/>
    <hyperlink r:id="rId2" ref="B41"/>
    <hyperlink display="Chapter 8 Exercises: Avoiding Hallucinations →" location="C8ExerciseTitle" ref="E45"/>
    <hyperlink display="Back to top ↑" location="C8LessonTitle" ref="E47"/>
    <hyperlink display="← Chapter 7 Exercises: Using Examples (Few-Shot Prompting)" location="C7ExerciseTitle" ref="B64"/>
    <hyperlink display="Chapter 8 Exercises: Avoiding Hallucinations →" location="C8ExerciseTitle" ref="E64"/>
    <hyperlink display="Back to top ↑" location="C8LessonTitle" ref="B66"/>
    <hyperlink display="Table of Contents" location="IntroTitle" ref="B67"/>
  </hyperlinks>
  <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showGridLines="0" workbookViewId="0"/>
  </sheetViews>
  <sheetFormatPr customHeight="1" defaultColWidth="12.63" defaultRowHeight="15.75" outlineLevelRow="1"/>
  <cols>
    <col customWidth="1" min="1" max="1" width="5.5"/>
    <col customWidth="1" min="2" max="2" width="3.0"/>
    <col customWidth="1" min="3" max="3" width="50.5"/>
    <col customWidth="1" min="4" max="4" width="4.0"/>
    <col customWidth="1" min="5" max="5" width="55.75"/>
    <col customWidth="1" min="6" max="6" width="3.0"/>
    <col customWidth="1" min="7" max="7" width="5.5"/>
  </cols>
  <sheetData>
    <row r="1" ht="32.25" customHeight="1">
      <c r="A1" s="1"/>
      <c r="B1" s="2" t="s">
        <v>562</v>
      </c>
      <c r="F1" s="3"/>
      <c r="G1" s="3"/>
    </row>
    <row r="2" ht="21.75" customHeight="1"/>
    <row r="3" ht="21.75" customHeight="1">
      <c r="A3" s="23"/>
      <c r="B3" s="68" t="s">
        <v>249</v>
      </c>
    </row>
    <row r="4" ht="15.75" customHeight="1">
      <c r="A4" s="23"/>
      <c r="C4" s="69" t="s">
        <v>563</v>
      </c>
    </row>
    <row r="5" ht="15.75" customHeight="1">
      <c r="A5" s="23"/>
      <c r="C5" s="69" t="s">
        <v>564</v>
      </c>
    </row>
    <row r="6" ht="33.75" customHeight="1"/>
    <row r="7" ht="29.25" customHeight="1">
      <c r="A7" s="70"/>
      <c r="B7" s="71" t="s">
        <v>563</v>
      </c>
      <c r="C7" s="72"/>
      <c r="D7" s="72"/>
      <c r="E7" s="73" t="s">
        <v>253</v>
      </c>
      <c r="F7" s="74"/>
      <c r="G7" s="70"/>
    </row>
    <row r="8">
      <c r="B8" s="268" t="s">
        <v>565</v>
      </c>
      <c r="F8" s="12"/>
    </row>
    <row r="9" ht="8.25" customHeight="1">
      <c r="B9" s="25"/>
      <c r="F9" s="24"/>
    </row>
    <row r="10" ht="15.75" customHeight="1">
      <c r="B10" s="25"/>
      <c r="C10" s="26" t="s">
        <v>263</v>
      </c>
      <c r="E10" s="26" t="s">
        <v>264</v>
      </c>
      <c r="F10" s="24"/>
    </row>
    <row r="11" ht="70.5" customHeight="1">
      <c r="B11" s="25"/>
      <c r="C11" s="176" t="s">
        <v>566</v>
      </c>
      <c r="D11" s="90" t="s">
        <v>266</v>
      </c>
      <c r="E11" s="98" t="str">
        <f>claudeMessages(C11, 'Tutorial How-To'!$E$37,"temperature",0)</f>
        <v>Beyoncé released her eighth studio album, Renaissance, in 2022.
The album was released on July 29, 2022 through Parkwood Entertainment and Columbia Records.
Some key details:
- Renaissance is Beyoncé's eighth solo studio album, following her 2016 album Lemonade.
- It was her first solo studio album in 6 years, marking her longest gap between solo studio albums.
- The album was met with widespread critical acclaim and commercial success, debuting at #1 on the Billboard 200 chart.
So in summary, Beyoncé's eighth studio album Renaissance was released in 2022.</v>
      </c>
      <c r="F11" s="24"/>
    </row>
    <row r="12" ht="70.5" customHeight="1">
      <c r="B12" s="25"/>
      <c r="C12" s="177"/>
      <c r="E12" s="94"/>
      <c r="F12" s="24"/>
    </row>
    <row r="13" ht="116.25" customHeight="1">
      <c r="B13" s="25"/>
      <c r="C13" s="178"/>
      <c r="E13" s="95"/>
      <c r="F13" s="24"/>
    </row>
    <row r="14" ht="15.75" customHeight="1">
      <c r="B14" s="25"/>
      <c r="F14" s="24"/>
    </row>
    <row r="15" collapsed="1">
      <c r="B15" s="125" t="s">
        <v>293</v>
      </c>
      <c r="C15" s="126" t="s">
        <v>294</v>
      </c>
      <c r="F15" s="12"/>
    </row>
    <row r="16" hidden="1" outlineLevel="1">
      <c r="B16" s="127" t="s">
        <v>567</v>
      </c>
      <c r="F16" s="12"/>
    </row>
    <row r="17" ht="33.75" customHeight="1">
      <c r="B17" s="9"/>
      <c r="C17" s="9"/>
      <c r="D17" s="9"/>
      <c r="E17" s="9"/>
      <c r="F17" s="9"/>
    </row>
    <row r="18" ht="29.25" customHeight="1">
      <c r="A18" s="70"/>
      <c r="B18" s="71" t="s">
        <v>564</v>
      </c>
      <c r="C18" s="72"/>
      <c r="D18" s="72"/>
      <c r="E18" s="73" t="s">
        <v>253</v>
      </c>
      <c r="F18" s="74"/>
      <c r="G18" s="70"/>
    </row>
    <row r="19">
      <c r="B19" s="79" t="s">
        <v>568</v>
      </c>
      <c r="F19" s="12"/>
    </row>
    <row r="20" ht="8.25" customHeight="1">
      <c r="B20" s="25"/>
      <c r="F20" s="24"/>
    </row>
    <row r="21" ht="15.75" customHeight="1">
      <c r="B21" s="25"/>
      <c r="C21" s="26" t="s">
        <v>263</v>
      </c>
      <c r="E21" s="26" t="s">
        <v>264</v>
      </c>
      <c r="F21" s="24"/>
    </row>
    <row r="22" ht="72.75" customHeight="1">
      <c r="B22" s="25"/>
      <c r="C22" s="176" t="s">
        <v>569</v>
      </c>
      <c r="D22" s="90" t="s">
        <v>266</v>
      </c>
      <c r="E22" s="98" t="str">
        <f>claudeMessages(C22, 'Tutorial How-To'!$E$37,"temperature",0)</f>
        <v>According to the SEC filing, Matterport's subscriber base grew from 503,000 subscribers as of December 31, 2021 to over 701,000 subscribers as of December 31, 2022, an increase of approximately 198,000 subscribers.</v>
      </c>
      <c r="F22" s="24"/>
    </row>
    <row r="23" ht="72.75" customHeight="1">
      <c r="B23" s="25"/>
      <c r="C23" s="177"/>
      <c r="E23" s="94"/>
      <c r="F23" s="24"/>
    </row>
    <row r="24" ht="72.75" customHeight="1">
      <c r="B24" s="25"/>
      <c r="C24" s="177"/>
      <c r="E24" s="94"/>
      <c r="F24" s="24"/>
    </row>
    <row r="25" ht="72.75" customHeight="1">
      <c r="B25" s="25"/>
      <c r="C25" s="178"/>
      <c r="E25" s="95"/>
      <c r="F25" s="24"/>
    </row>
    <row r="26" ht="15.75" customHeight="1">
      <c r="B26" s="25"/>
      <c r="F26" s="24"/>
    </row>
    <row r="27" collapsed="1">
      <c r="B27" s="125" t="s">
        <v>293</v>
      </c>
      <c r="C27" s="126" t="s">
        <v>294</v>
      </c>
      <c r="F27" s="12"/>
    </row>
    <row r="28" hidden="1" outlineLevel="1">
      <c r="B28" s="127" t="s">
        <v>570</v>
      </c>
      <c r="F28" s="12"/>
    </row>
    <row r="29">
      <c r="B29" s="9"/>
      <c r="C29" s="9"/>
      <c r="D29" s="9"/>
      <c r="E29" s="9"/>
      <c r="F29" s="9"/>
    </row>
    <row r="30">
      <c r="B30" s="119" t="s">
        <v>571</v>
      </c>
      <c r="E30" s="42" t="s">
        <v>572</v>
      </c>
    </row>
    <row r="31" ht="8.25" customHeight="1"/>
    <row r="32">
      <c r="B32" s="121" t="s">
        <v>253</v>
      </c>
    </row>
    <row r="33">
      <c r="B33" s="121" t="s">
        <v>286</v>
      </c>
    </row>
  </sheetData>
  <mergeCells count="22">
    <mergeCell ref="B1:E1"/>
    <mergeCell ref="B3:C3"/>
    <mergeCell ref="B7:D7"/>
    <mergeCell ref="E7:F7"/>
    <mergeCell ref="B8:F8"/>
    <mergeCell ref="C11:C13"/>
    <mergeCell ref="D11:D13"/>
    <mergeCell ref="D22:D25"/>
    <mergeCell ref="E22:E25"/>
    <mergeCell ref="C27:F27"/>
    <mergeCell ref="B28:F28"/>
    <mergeCell ref="B30:D30"/>
    <mergeCell ref="E30:F30"/>
    <mergeCell ref="B32:F32"/>
    <mergeCell ref="B33:F33"/>
    <mergeCell ref="E11:E13"/>
    <mergeCell ref="C15:F15"/>
    <mergeCell ref="B16:F16"/>
    <mergeCell ref="B18:D18"/>
    <mergeCell ref="E18:F18"/>
    <mergeCell ref="B19:F19"/>
    <mergeCell ref="C22:C25"/>
  </mergeCells>
  <conditionalFormatting sqref="E11:E13">
    <cfRule type="expression" dxfId="0" priority="1">
      <formula>OR(ISNUMBER(SEARCH("Unfortunately",E11)),ISNUMBER(SEARCH("I do not",E11)),ISNUMBER(SEARCH("I don't",E11)))</formula>
    </cfRule>
  </conditionalFormatting>
  <conditionalFormatting sqref="E11:E13">
    <cfRule type="notContainsText" dxfId="0" priority="2" operator="notContains" text="2022">
      <formula>ISERROR(SEARCH(("2022"),(E11)))</formula>
    </cfRule>
  </conditionalFormatting>
  <conditionalFormatting sqref="E22:E25">
    <cfRule type="containsText" dxfId="0" priority="3" operator="containsText" text="49-fold">
      <formula>NOT(ISERROR(SEARCH(("49-fold"),(E22))))</formula>
    </cfRule>
  </conditionalFormatting>
  <hyperlinks>
    <hyperlink display="Exercise 8.1 - Beyoncé Hallucination" location="C8Exercise1" ref="C4"/>
    <hyperlink display="Exercise 8.2 - Prospectus Hallucination" location="C8Exercise2" ref="C5"/>
    <hyperlink display="Back to top ↑" location="C8ExerciseTitle" ref="E7"/>
    <hyperlink display="Back to top ↑" location="C8ExerciseTitle" ref="E18"/>
    <hyperlink display="← Chapter 8: Avoiding Hallucinations" location="C8LessonTitle" ref="B30"/>
    <hyperlink display="Chapter 9: Complex Prompts from Scratch - Chatbot →" location="C9TemplateTitle" ref="E30"/>
    <hyperlink display="Back to top ↑" location="C8ExerciseTitle" ref="B32"/>
    <hyperlink display="Table of Contents" location="IntroTitle" ref="B33"/>
  </hyperlink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showGridLines="0" workbookViewId="0"/>
  </sheetViews>
  <sheetFormatPr customHeight="1" defaultColWidth="12.63" defaultRowHeight="15.75"/>
  <cols>
    <col customWidth="1" min="1" max="1" width="5.5"/>
    <col customWidth="1" min="2" max="2" width="3.0"/>
    <col customWidth="1" min="3" max="3" width="4.0"/>
    <col customWidth="1" min="4" max="4" width="19.88"/>
    <col customWidth="1" min="5" max="5" width="1.5"/>
    <col customWidth="1" min="6" max="6" width="36.13"/>
    <col customWidth="1" min="7" max="7" width="4.0"/>
    <col customWidth="1" min="8" max="8" width="25.63"/>
    <col customWidth="1" min="9" max="9" width="4.0"/>
    <col customWidth="1" min="10" max="10" width="43.0"/>
    <col customWidth="1" min="11" max="11" width="4.0"/>
    <col customWidth="1" min="12" max="12" width="31.0"/>
    <col customWidth="1" min="13" max="13" width="3.0"/>
    <col customWidth="1" min="14" max="14" width="5.5"/>
  </cols>
  <sheetData>
    <row r="1" ht="32.25" customHeight="1">
      <c r="A1" s="132"/>
      <c r="B1" s="303" t="s">
        <v>573</v>
      </c>
      <c r="K1" s="185"/>
      <c r="L1" s="185"/>
      <c r="M1" s="134"/>
      <c r="N1" s="134"/>
    </row>
    <row r="2" ht="21.75" customHeight="1">
      <c r="A2" s="107"/>
      <c r="B2" s="107"/>
      <c r="C2" s="142"/>
      <c r="D2" s="107"/>
      <c r="E2" s="107"/>
      <c r="F2" s="107"/>
      <c r="G2" s="107"/>
      <c r="H2" s="107"/>
      <c r="I2" s="107"/>
      <c r="J2" s="142"/>
      <c r="K2" s="142"/>
      <c r="L2" s="142"/>
      <c r="M2" s="107"/>
      <c r="N2" s="107"/>
    </row>
    <row r="3" ht="21.75" customHeight="1">
      <c r="A3" s="135"/>
      <c r="B3" s="304" t="s">
        <v>249</v>
      </c>
      <c r="C3" s="107"/>
      <c r="D3" s="107"/>
      <c r="E3" s="107"/>
      <c r="F3" s="107"/>
      <c r="G3" s="107"/>
      <c r="H3" s="135"/>
      <c r="I3" s="135"/>
      <c r="J3" s="107"/>
      <c r="K3" s="107"/>
      <c r="L3" s="107"/>
      <c r="M3" s="107"/>
      <c r="N3" s="107"/>
    </row>
    <row r="4" ht="15.75" customHeight="1">
      <c r="A4" s="135"/>
      <c r="B4" s="107"/>
      <c r="C4" s="137" t="s">
        <v>226</v>
      </c>
      <c r="E4" s="107"/>
      <c r="F4" s="107"/>
      <c r="G4" s="107"/>
      <c r="H4" s="135"/>
      <c r="I4" s="107"/>
      <c r="J4" s="135"/>
      <c r="K4" s="135"/>
      <c r="L4" s="135"/>
      <c r="M4" s="107"/>
      <c r="N4" s="107"/>
    </row>
    <row r="5" ht="15.75" customHeight="1">
      <c r="A5" s="135"/>
      <c r="B5" s="107"/>
      <c r="C5" s="137" t="s">
        <v>574</v>
      </c>
      <c r="E5" s="107"/>
      <c r="F5" s="107"/>
      <c r="G5" s="107"/>
      <c r="H5" s="135"/>
      <c r="I5" s="107"/>
      <c r="J5" s="135"/>
      <c r="K5" s="135"/>
      <c r="L5" s="135"/>
      <c r="M5" s="107"/>
      <c r="N5" s="107"/>
    </row>
    <row r="6" ht="33.75" customHeight="1">
      <c r="A6" s="107"/>
      <c r="B6" s="138"/>
      <c r="C6" s="138"/>
      <c r="D6" s="138"/>
      <c r="E6" s="138"/>
      <c r="F6" s="138"/>
      <c r="G6" s="138"/>
      <c r="H6" s="138"/>
      <c r="I6" s="138"/>
      <c r="J6" s="138"/>
      <c r="K6" s="138"/>
      <c r="L6" s="138"/>
      <c r="M6" s="138"/>
      <c r="N6" s="107"/>
    </row>
    <row r="7" ht="29.25" customHeight="1">
      <c r="A7" s="139"/>
      <c r="B7" s="140" t="s">
        <v>226</v>
      </c>
      <c r="G7" s="142"/>
      <c r="H7" s="142"/>
      <c r="I7" s="142"/>
      <c r="J7" s="200"/>
      <c r="K7" s="200"/>
      <c r="L7" s="141" t="s">
        <v>253</v>
      </c>
      <c r="M7" s="12"/>
      <c r="N7" s="142"/>
    </row>
    <row r="8">
      <c r="A8" s="105"/>
      <c r="B8" s="145" t="s">
        <v>575</v>
      </c>
      <c r="C8" s="48"/>
      <c r="D8" s="48"/>
      <c r="E8" s="48"/>
      <c r="F8" s="48"/>
      <c r="G8" s="48"/>
      <c r="H8" s="48"/>
      <c r="I8" s="48"/>
      <c r="J8" s="48"/>
      <c r="K8" s="48"/>
      <c r="L8" s="48"/>
      <c r="M8" s="49"/>
      <c r="N8" s="107"/>
    </row>
    <row r="9" ht="33.75" customHeight="1">
      <c r="A9" s="107"/>
      <c r="B9" s="138"/>
      <c r="C9" s="189"/>
      <c r="D9" s="138"/>
      <c r="E9" s="138"/>
      <c r="F9" s="138"/>
      <c r="G9" s="138"/>
      <c r="H9" s="138"/>
      <c r="I9" s="138"/>
      <c r="J9" s="189"/>
      <c r="K9" s="189"/>
      <c r="L9" s="189"/>
      <c r="M9" s="138"/>
      <c r="N9" s="107"/>
    </row>
    <row r="10" ht="29.25" customHeight="1">
      <c r="A10" s="105"/>
      <c r="B10" s="140" t="s">
        <v>574</v>
      </c>
      <c r="G10" s="107"/>
      <c r="H10" s="107"/>
      <c r="I10" s="107"/>
      <c r="J10" s="200"/>
      <c r="K10" s="200"/>
      <c r="L10" s="141" t="s">
        <v>253</v>
      </c>
      <c r="M10" s="12"/>
      <c r="N10" s="107"/>
    </row>
    <row r="11">
      <c r="A11" s="105"/>
      <c r="B11" s="146" t="s">
        <v>576</v>
      </c>
      <c r="M11" s="12"/>
      <c r="N11" s="107"/>
    </row>
    <row r="12" ht="8.25" customHeight="1">
      <c r="A12" s="105"/>
      <c r="B12" s="135"/>
      <c r="C12" s="142"/>
      <c r="D12" s="107"/>
      <c r="E12" s="107"/>
      <c r="F12" s="107"/>
      <c r="G12" s="107"/>
      <c r="H12" s="107"/>
      <c r="I12" s="107"/>
      <c r="J12" s="142"/>
      <c r="K12" s="142"/>
      <c r="L12" s="142"/>
      <c r="M12" s="105"/>
      <c r="N12" s="107"/>
    </row>
    <row r="13">
      <c r="A13" s="105"/>
      <c r="B13" s="107"/>
      <c r="C13" s="200"/>
      <c r="D13" s="305" t="s">
        <v>577</v>
      </c>
      <c r="E13" s="107"/>
      <c r="F13" s="305" t="s">
        <v>578</v>
      </c>
      <c r="G13" s="107"/>
      <c r="H13" s="306" t="s">
        <v>574</v>
      </c>
      <c r="I13" s="200"/>
      <c r="J13" s="200"/>
      <c r="K13" s="107"/>
      <c r="L13" s="307" t="s">
        <v>579</v>
      </c>
      <c r="M13" s="105"/>
      <c r="N13" s="107"/>
    </row>
    <row r="14" ht="3.75" customHeight="1">
      <c r="A14" s="105"/>
      <c r="B14" s="107"/>
      <c r="C14" s="200"/>
      <c r="D14" s="135"/>
      <c r="E14" s="107"/>
      <c r="F14" s="170"/>
      <c r="G14" s="107"/>
      <c r="H14" s="308"/>
      <c r="I14" s="308"/>
      <c r="J14" s="308"/>
      <c r="K14" s="107"/>
      <c r="L14" s="170"/>
      <c r="M14" s="105"/>
      <c r="N14" s="107"/>
    </row>
    <row r="15">
      <c r="A15" s="105"/>
      <c r="B15" s="107"/>
      <c r="C15" s="309" t="s">
        <v>445</v>
      </c>
      <c r="D15" s="310" t="s">
        <v>580</v>
      </c>
      <c r="E15" s="161"/>
      <c r="F15" s="197" t="s">
        <v>581</v>
      </c>
      <c r="G15" s="110"/>
      <c r="H15" s="311" t="s">
        <v>582</v>
      </c>
      <c r="I15" s="285"/>
      <c r="J15" s="154"/>
      <c r="K15" s="110"/>
      <c r="L15" s="312" t="s">
        <v>583</v>
      </c>
      <c r="M15" s="105"/>
      <c r="N15" s="107"/>
    </row>
    <row r="16" ht="15.75" customHeight="1">
      <c r="A16" s="105"/>
      <c r="B16" s="107"/>
      <c r="C16" s="200"/>
      <c r="D16" s="200"/>
      <c r="E16" s="187"/>
      <c r="F16" s="313"/>
      <c r="G16" s="107"/>
      <c r="H16" s="313"/>
      <c r="I16" s="313"/>
      <c r="J16" s="313"/>
      <c r="K16" s="107"/>
      <c r="L16" s="313"/>
      <c r="M16" s="105"/>
      <c r="N16" s="107"/>
    </row>
    <row r="17">
      <c r="A17" s="105"/>
      <c r="B17" s="107"/>
      <c r="C17" s="309" t="s">
        <v>447</v>
      </c>
      <c r="D17" s="310" t="s">
        <v>584</v>
      </c>
      <c r="E17" s="161"/>
      <c r="F17" s="197" t="s">
        <v>585</v>
      </c>
      <c r="G17" s="110"/>
      <c r="H17" s="311" t="s">
        <v>586</v>
      </c>
      <c r="I17" s="285"/>
      <c r="J17" s="154"/>
      <c r="K17" s="110"/>
      <c r="L17" s="312" t="s">
        <v>587</v>
      </c>
      <c r="M17" s="105"/>
      <c r="N17" s="107"/>
    </row>
    <row r="18" ht="15.75" customHeight="1">
      <c r="A18" s="105"/>
      <c r="B18" s="107"/>
      <c r="C18" s="107"/>
      <c r="D18" s="107"/>
      <c r="E18" s="107"/>
      <c r="F18" s="314"/>
      <c r="G18" s="107"/>
      <c r="H18" s="314"/>
      <c r="I18" s="314"/>
      <c r="J18" s="314"/>
      <c r="K18" s="107"/>
      <c r="L18" s="314"/>
      <c r="M18" s="105"/>
      <c r="N18" s="107"/>
    </row>
    <row r="19">
      <c r="A19" s="105"/>
      <c r="B19" s="107"/>
      <c r="C19" s="315" t="s">
        <v>449</v>
      </c>
      <c r="D19" s="310" t="s">
        <v>588</v>
      </c>
      <c r="E19" s="110"/>
      <c r="F19" s="197" t="s">
        <v>589</v>
      </c>
      <c r="G19" s="110"/>
      <c r="H19" s="311" t="s">
        <v>590</v>
      </c>
      <c r="I19" s="285"/>
      <c r="J19" s="154"/>
      <c r="K19" s="110"/>
      <c r="L19" s="312" t="s">
        <v>591</v>
      </c>
      <c r="M19" s="105"/>
      <c r="N19" s="107"/>
    </row>
    <row r="20" ht="15.75" customHeight="1">
      <c r="A20" s="105"/>
      <c r="B20" s="107"/>
      <c r="C20" s="107"/>
      <c r="D20" s="107"/>
      <c r="E20" s="107"/>
      <c r="F20" s="314"/>
      <c r="G20" s="107"/>
      <c r="H20" s="314"/>
      <c r="I20" s="314"/>
      <c r="J20" s="314"/>
      <c r="K20" s="107"/>
      <c r="L20" s="314"/>
      <c r="M20" s="105"/>
      <c r="N20" s="107"/>
    </row>
    <row r="21">
      <c r="A21" s="105"/>
      <c r="B21" s="107"/>
      <c r="C21" s="309" t="s">
        <v>493</v>
      </c>
      <c r="D21" s="316" t="s">
        <v>592</v>
      </c>
      <c r="E21" s="161"/>
      <c r="F21" s="197" t="s">
        <v>593</v>
      </c>
      <c r="G21" s="110"/>
      <c r="H21" s="311" t="s">
        <v>594</v>
      </c>
      <c r="I21" s="285"/>
      <c r="J21" s="154"/>
      <c r="K21" s="110"/>
      <c r="L21" s="312" t="s">
        <v>595</v>
      </c>
      <c r="M21" s="105"/>
      <c r="N21" s="107"/>
    </row>
    <row r="22" ht="15.75" customHeight="1">
      <c r="A22" s="105"/>
      <c r="B22" s="107"/>
      <c r="C22" s="142"/>
      <c r="D22" s="107"/>
      <c r="E22" s="107"/>
      <c r="F22" s="314"/>
      <c r="G22" s="107"/>
      <c r="H22" s="308"/>
      <c r="I22" s="308"/>
      <c r="J22" s="308"/>
      <c r="K22" s="107"/>
      <c r="L22" s="308"/>
      <c r="M22" s="105"/>
      <c r="N22" s="107"/>
    </row>
    <row r="23">
      <c r="A23" s="105"/>
      <c r="B23" s="107"/>
      <c r="C23" s="309" t="s">
        <v>596</v>
      </c>
      <c r="D23" s="310" t="s">
        <v>250</v>
      </c>
      <c r="E23" s="161"/>
      <c r="F23" s="197" t="s">
        <v>597</v>
      </c>
      <c r="G23" s="110"/>
      <c r="H23" s="311" t="s">
        <v>598</v>
      </c>
      <c r="I23" s="285"/>
      <c r="J23" s="154"/>
      <c r="K23" s="110"/>
      <c r="L23" s="312" t="s">
        <v>599</v>
      </c>
      <c r="M23" s="105"/>
      <c r="N23" s="107"/>
    </row>
    <row r="24" ht="15.75" customHeight="1">
      <c r="A24" s="105"/>
      <c r="B24" s="107"/>
      <c r="C24" s="142"/>
      <c r="D24" s="107"/>
      <c r="E24" s="107"/>
      <c r="F24" s="314"/>
      <c r="G24" s="107"/>
      <c r="H24" s="308"/>
      <c r="I24" s="308"/>
      <c r="J24" s="308"/>
      <c r="K24" s="107"/>
      <c r="L24" s="308"/>
      <c r="M24" s="105"/>
      <c r="N24" s="107"/>
    </row>
    <row r="25">
      <c r="A25" s="105"/>
      <c r="B25" s="107"/>
      <c r="C25" s="309" t="s">
        <v>600</v>
      </c>
      <c r="D25" s="310" t="s">
        <v>601</v>
      </c>
      <c r="E25" s="161"/>
      <c r="F25" s="197" t="s">
        <v>602</v>
      </c>
      <c r="G25" s="110"/>
      <c r="H25" s="311" t="s">
        <v>603</v>
      </c>
      <c r="I25" s="285"/>
      <c r="J25" s="154"/>
      <c r="K25" s="110"/>
      <c r="L25" s="312" t="s">
        <v>604</v>
      </c>
      <c r="M25" s="105"/>
      <c r="N25" s="107"/>
    </row>
    <row r="26" ht="15.75" customHeight="1">
      <c r="A26" s="105"/>
      <c r="B26" s="107"/>
      <c r="C26" s="142"/>
      <c r="D26" s="107"/>
      <c r="E26" s="107"/>
      <c r="F26" s="314"/>
      <c r="G26" s="107"/>
      <c r="H26" s="308"/>
      <c r="I26" s="308"/>
      <c r="J26" s="308"/>
      <c r="K26" s="107"/>
      <c r="L26" s="308"/>
      <c r="M26" s="105"/>
      <c r="N26" s="107"/>
    </row>
    <row r="27">
      <c r="A27" s="105"/>
      <c r="B27" s="107"/>
      <c r="C27" s="309" t="s">
        <v>605</v>
      </c>
      <c r="D27" s="310" t="s">
        <v>606</v>
      </c>
      <c r="E27" s="161"/>
      <c r="F27" s="197" t="s">
        <v>607</v>
      </c>
      <c r="G27" s="110"/>
      <c r="H27" s="311" t="s">
        <v>608</v>
      </c>
      <c r="I27" s="285"/>
      <c r="J27" s="154"/>
      <c r="K27" s="110"/>
      <c r="L27" s="317" t="s">
        <v>609</v>
      </c>
      <c r="M27" s="105"/>
      <c r="N27" s="107"/>
    </row>
    <row r="28" ht="15.75" customHeight="1">
      <c r="A28" s="105"/>
      <c r="B28" s="107"/>
      <c r="C28" s="142"/>
      <c r="D28" s="107"/>
      <c r="E28" s="107"/>
      <c r="F28" s="314"/>
      <c r="G28" s="107"/>
      <c r="H28" s="308"/>
      <c r="I28" s="308"/>
      <c r="J28" s="308"/>
      <c r="K28" s="107"/>
      <c r="L28" s="308"/>
      <c r="M28" s="105"/>
      <c r="N28" s="107"/>
    </row>
    <row r="29">
      <c r="A29" s="105"/>
      <c r="B29" s="107"/>
      <c r="C29" s="309" t="s">
        <v>610</v>
      </c>
      <c r="D29" s="310" t="s">
        <v>611</v>
      </c>
      <c r="E29" s="161"/>
      <c r="F29" s="197" t="s">
        <v>612</v>
      </c>
      <c r="G29" s="110"/>
      <c r="H29" s="311" t="s">
        <v>613</v>
      </c>
      <c r="I29" s="285"/>
      <c r="J29" s="154"/>
      <c r="K29" s="110"/>
      <c r="L29" s="312" t="s">
        <v>614</v>
      </c>
      <c r="M29" s="105"/>
      <c r="N29" s="107"/>
    </row>
    <row r="30" ht="15.75" customHeight="1">
      <c r="A30" s="105"/>
      <c r="B30" s="107"/>
      <c r="C30" s="142"/>
      <c r="D30" s="107"/>
      <c r="E30" s="107"/>
      <c r="F30" s="314"/>
      <c r="G30" s="107"/>
      <c r="H30" s="308"/>
      <c r="I30" s="308"/>
      <c r="J30" s="308"/>
      <c r="K30" s="107"/>
      <c r="L30" s="308"/>
      <c r="M30" s="105"/>
      <c r="N30" s="107"/>
    </row>
    <row r="31">
      <c r="A31" s="105"/>
      <c r="B31" s="107"/>
      <c r="C31" s="309" t="s">
        <v>615</v>
      </c>
      <c r="D31" s="310" t="s">
        <v>616</v>
      </c>
      <c r="E31" s="161"/>
      <c r="F31" s="197" t="s">
        <v>617</v>
      </c>
      <c r="G31" s="110"/>
      <c r="H31" s="311" t="s">
        <v>618</v>
      </c>
      <c r="I31" s="285"/>
      <c r="J31" s="154"/>
      <c r="K31" s="110"/>
      <c r="L31" s="312" t="s">
        <v>619</v>
      </c>
      <c r="M31" s="105"/>
      <c r="N31" s="107"/>
    </row>
    <row r="32" ht="15.75" customHeight="1">
      <c r="A32" s="105"/>
      <c r="B32" s="107"/>
      <c r="C32" s="142"/>
      <c r="D32" s="107"/>
      <c r="E32" s="107"/>
      <c r="F32" s="314"/>
      <c r="G32" s="107"/>
      <c r="H32" s="308"/>
      <c r="I32" s="308"/>
      <c r="J32" s="308"/>
      <c r="K32" s="107"/>
      <c r="L32" s="308"/>
      <c r="M32" s="105"/>
      <c r="N32" s="107"/>
    </row>
    <row r="33">
      <c r="A33" s="105"/>
      <c r="B33" s="107"/>
      <c r="C33" s="309" t="s">
        <v>620</v>
      </c>
      <c r="D33" s="310" t="s">
        <v>621</v>
      </c>
      <c r="E33" s="161"/>
      <c r="F33" s="197" t="s">
        <v>622</v>
      </c>
      <c r="G33" s="110"/>
      <c r="H33" s="311" t="s">
        <v>623</v>
      </c>
      <c r="I33" s="285"/>
      <c r="J33" s="154"/>
      <c r="K33" s="110"/>
      <c r="L33" s="312" t="s">
        <v>624</v>
      </c>
      <c r="M33" s="105"/>
      <c r="N33" s="107"/>
    </row>
    <row r="34" ht="22.5" customHeight="1">
      <c r="A34" s="105"/>
      <c r="B34" s="107"/>
      <c r="C34" s="142"/>
      <c r="D34" s="107"/>
      <c r="E34" s="107"/>
      <c r="F34" s="107"/>
      <c r="G34" s="107"/>
      <c r="H34" s="107"/>
      <c r="I34" s="107"/>
      <c r="J34" s="142"/>
      <c r="K34" s="142"/>
      <c r="L34" s="142"/>
      <c r="M34" s="105"/>
      <c r="N34" s="107"/>
    </row>
    <row r="35">
      <c r="A35" s="105"/>
      <c r="B35" s="150" t="s">
        <v>625</v>
      </c>
      <c r="M35" s="12"/>
      <c r="N35" s="107"/>
    </row>
    <row r="36" ht="8.25" customHeight="1">
      <c r="A36" s="105"/>
      <c r="B36" s="107"/>
      <c r="C36" s="142"/>
      <c r="D36" s="107"/>
      <c r="E36" s="107"/>
      <c r="F36" s="107"/>
      <c r="G36" s="107"/>
      <c r="H36" s="107"/>
      <c r="I36" s="107"/>
      <c r="J36" s="142"/>
      <c r="K36" s="142"/>
      <c r="L36" s="142"/>
      <c r="M36" s="105"/>
      <c r="N36" s="107"/>
    </row>
    <row r="37">
      <c r="A37" s="105"/>
      <c r="B37" s="107"/>
      <c r="C37" s="200"/>
      <c r="D37" s="190" t="s">
        <v>626</v>
      </c>
      <c r="E37" s="251"/>
      <c r="F37" s="251"/>
      <c r="G37" s="107"/>
      <c r="H37" s="191" t="s">
        <v>627</v>
      </c>
      <c r="I37" s="107"/>
      <c r="J37" s="191" t="s">
        <v>628</v>
      </c>
      <c r="K37" s="135"/>
      <c r="L37" s="191" t="s">
        <v>264</v>
      </c>
      <c r="M37" s="105"/>
      <c r="N37" s="107"/>
    </row>
    <row r="38" ht="84.0" customHeight="1">
      <c r="A38" s="105"/>
      <c r="B38" s="107"/>
      <c r="C38" s="318"/>
      <c r="D38" s="319" t="str">
        <f>concatenate(H15," ",H17,char(10),char(10),H19,char(10),char(10),H21,char(10),char(10),H23,char(10),char(10),H25,char(10),char(10),H27,char(10),H29,,char(10),H31,char(10),H33)</f>
        <v>User: You will be acting as an AI career coach named Joe created by the company AdAstra Careers. Your goal is to give career advice to users. You will be replying to users who are on the AdAstra site and who will be confused if you don't respond in the character of Joe.
You should maintain a friendly customer service tone. 
Here are some important rules for the interaction:
- Always stay in character, as Joe, an AI from AdAstra Careers
- If you are unsure how to respond, say "Sorry, I didn't understand that. Could you rephrase your question?"
- If someone asks something irrelevant, say, "Sorry, I am Joe and I give career advice. Do you have a career question today I can help you with?"
Here is an example of how to respond in a standard interaction:
&lt;example&gt;
Customer: Hi, how were you created and what do you do?
Joe: Hello! My name is Joe, and I was created by AdAstra Careers to give career advice. What can I help you with today?
&lt;/example&gt;
Here is the conversational history (between the user and you) prior to the question. It could be empty if there is no history:
&lt;history&gt;
{{HISTORY}}
&lt;/history&gt;
Here is the user's question:
&lt;question&gt;
{{QUESTION}}
&lt;/question&gt;
How do you respond to the user's question?
Think about your answer first before you respond.
Put your response in &lt;response&gt;&lt;/response&gt; tags.
Assistant: [Joe] &lt;response&gt;</v>
      </c>
      <c r="F38" s="249"/>
      <c r="G38" s="196" t="s">
        <v>365</v>
      </c>
      <c r="H38" s="202" t="s">
        <v>629</v>
      </c>
      <c r="I38" s="198" t="s">
        <v>367</v>
      </c>
      <c r="J38" s="204" t="str">
        <f>substitute(substitute(D38,"{{HISTORY}}",H38),"{{QUESTION}}",H45)</f>
        <v>User: You will be acting as an AI career coach named Joe created by the company AdAstra Careers. Your goal is to give career advice to users. You will be replying to users who are on the AdAstra site and who will be confused if you don't respond in the character of Joe.
You should maintain a friendly customer service tone. 
Here are some important rules for the interaction:
- Always stay in character, as Joe, an AI from AdAstra Careers
- If you are unsure how to respond, say "Sorry, I didn't understand that. Could you rephrase your question?"
- If someone asks something irrelevant, say, "Sorry, I am Joe and I give career advice. Do you have a career question today I can help you with?"
Here is an example of how to respond in a standard interaction:
&lt;example&gt;
Customer: Hi, how were you created and what do you do?
Joe: Hello! My name is Joe, and I was created by AdAstra Careers to give career advice. What can I help you with today?
&lt;/example&gt;
Here is the conversational history (between the user and you) prior to the question. It could be empty if there is no history:
&lt;history&gt;
Customer: Give me two possible careers for sociology majors.
Joe: Here are two potential careers for sociology majors:
- Social worker - Sociology provides a strong foundation for understanding human behavior and social systems. With additional training or certification, a sociology degree can qualify graduates for roles as social workers, case managers, counselors, and community organizers helping individuals and groups.
- Human resources specialist - An understanding of group dynamics and organizational behavior from sociology is applicable to careers in human resources. Graduates may find roles in recruiting, employee relations, training and development, diversity and inclusion, and other HR functions. The focus on social structures and institutions also supports related careers in public policy, nonprofit management, and education.
&lt;/history&gt;
Here is the user's question:
&lt;question&gt;
Which of the two careers requires more than a Bachelor's degree?
&lt;/question&gt;
How do you respond to the user's question?
Think about your answer first before you respond.
Put your response in &lt;response&gt;&lt;/response&gt; tags.
Assistant: [Joe] &lt;response&gt;</v>
      </c>
      <c r="K38" s="199" t="s">
        <v>266</v>
      </c>
      <c r="L38" s="159" t="str">
        <f>claudeMessages(J38, 'Tutorial How-To'!$E$37,"temperature",0)</f>
        <v>The career that typically requires more than a bachelor's degree between the two is social worker. While a bachelor's degree in sociology can provide a good foundation, most social worker roles require a master's degree in social work (MSW) for licensure and advanced practice. The human resources specialist role is more commonly attainable with just a bachelor's degree in sociology or a related field.&lt;/response&gt;</v>
      </c>
      <c r="M38" s="105"/>
      <c r="N38" s="107"/>
    </row>
    <row r="39" ht="84.0" customHeight="1">
      <c r="A39" s="105"/>
      <c r="B39" s="107"/>
      <c r="C39" s="318"/>
      <c r="F39" s="249"/>
      <c r="G39" s="113"/>
      <c r="H39" s="113"/>
      <c r="I39" s="113"/>
      <c r="J39" s="113"/>
      <c r="K39" s="113"/>
      <c r="L39" s="94"/>
      <c r="M39" s="105"/>
      <c r="N39" s="107"/>
    </row>
    <row r="40" ht="84.0" customHeight="1">
      <c r="A40" s="105"/>
      <c r="B40" s="107"/>
      <c r="C40" s="318"/>
      <c r="F40" s="249"/>
      <c r="G40" s="113"/>
      <c r="H40" s="113"/>
      <c r="I40" s="113"/>
      <c r="J40" s="113"/>
      <c r="K40" s="113"/>
      <c r="L40" s="94"/>
      <c r="M40" s="105"/>
      <c r="N40" s="107"/>
    </row>
    <row r="41" ht="84.0" customHeight="1">
      <c r="A41" s="105"/>
      <c r="B41" s="107"/>
      <c r="C41" s="318"/>
      <c r="F41" s="249"/>
      <c r="G41" s="113"/>
      <c r="H41" s="113"/>
      <c r="I41" s="113"/>
      <c r="J41" s="113"/>
      <c r="K41" s="113"/>
      <c r="L41" s="94"/>
      <c r="M41" s="105"/>
      <c r="N41" s="107"/>
    </row>
    <row r="42" ht="84.0" customHeight="1">
      <c r="A42" s="105"/>
      <c r="B42" s="107"/>
      <c r="C42" s="318"/>
      <c r="F42" s="249"/>
      <c r="G42" s="113"/>
      <c r="H42" s="154"/>
      <c r="I42" s="113"/>
      <c r="J42" s="113"/>
      <c r="K42" s="113"/>
      <c r="L42" s="94"/>
      <c r="M42" s="105"/>
      <c r="N42" s="107"/>
    </row>
    <row r="43" ht="8.25" customHeight="1">
      <c r="A43" s="105"/>
      <c r="B43" s="107"/>
      <c r="C43" s="320"/>
      <c r="F43" s="249"/>
      <c r="G43" s="107"/>
      <c r="H43" s="107"/>
      <c r="I43" s="113"/>
      <c r="J43" s="113"/>
      <c r="K43" s="113"/>
      <c r="L43" s="94"/>
      <c r="M43" s="105"/>
      <c r="N43" s="107"/>
    </row>
    <row r="44" ht="15.75" customHeight="1">
      <c r="A44" s="105"/>
      <c r="B44" s="107"/>
      <c r="C44" s="320"/>
      <c r="F44" s="249"/>
      <c r="G44" s="107"/>
      <c r="H44" s="191" t="s">
        <v>399</v>
      </c>
      <c r="I44" s="113"/>
      <c r="J44" s="113"/>
      <c r="K44" s="113"/>
      <c r="L44" s="94"/>
      <c r="M44" s="105"/>
      <c r="N44" s="107"/>
    </row>
    <row r="45" ht="18.75" customHeight="1">
      <c r="A45" s="105"/>
      <c r="B45" s="107"/>
      <c r="C45" s="320"/>
      <c r="F45" s="249"/>
      <c r="G45" s="196" t="s">
        <v>365</v>
      </c>
      <c r="H45" s="202" t="s">
        <v>630</v>
      </c>
      <c r="I45" s="113"/>
      <c r="J45" s="113"/>
      <c r="K45" s="113"/>
      <c r="L45" s="94"/>
      <c r="M45" s="105"/>
      <c r="N45" s="107"/>
    </row>
    <row r="46" ht="18.75" customHeight="1">
      <c r="A46" s="105"/>
      <c r="B46" s="107"/>
      <c r="C46" s="320"/>
      <c r="F46" s="249"/>
      <c r="G46" s="113"/>
      <c r="H46" s="113"/>
      <c r="I46" s="113"/>
      <c r="J46" s="113"/>
      <c r="K46" s="113"/>
      <c r="L46" s="94"/>
      <c r="M46" s="105"/>
      <c r="N46" s="107"/>
    </row>
    <row r="47" ht="18.75" customHeight="1">
      <c r="A47" s="105"/>
      <c r="B47" s="107"/>
      <c r="C47" s="320"/>
      <c r="D47" s="251"/>
      <c r="E47" s="251"/>
      <c r="F47" s="252"/>
      <c r="G47" s="113"/>
      <c r="H47" s="154"/>
      <c r="I47" s="113"/>
      <c r="J47" s="154"/>
      <c r="K47" s="113"/>
      <c r="L47" s="95"/>
      <c r="M47" s="105"/>
      <c r="N47" s="107"/>
    </row>
    <row r="48" ht="15.75" customHeight="1">
      <c r="A48" s="105"/>
      <c r="B48" s="138"/>
      <c r="C48" s="189"/>
      <c r="D48" s="138"/>
      <c r="E48" s="138"/>
      <c r="F48" s="138"/>
      <c r="G48" s="138"/>
      <c r="H48" s="138"/>
      <c r="I48" s="138"/>
      <c r="J48" s="189"/>
      <c r="K48" s="189"/>
      <c r="L48" s="189"/>
      <c r="M48" s="172"/>
      <c r="N48" s="107"/>
    </row>
    <row r="49">
      <c r="A49" s="107"/>
      <c r="B49" s="107"/>
      <c r="C49" s="142"/>
      <c r="D49" s="107"/>
      <c r="E49" s="107"/>
      <c r="F49" s="107"/>
      <c r="G49" s="107"/>
      <c r="H49" s="107"/>
      <c r="I49" s="107"/>
      <c r="J49" s="142"/>
      <c r="K49" s="142"/>
      <c r="L49" s="142"/>
      <c r="M49" s="107"/>
      <c r="N49" s="107"/>
    </row>
    <row r="50">
      <c r="A50" s="107"/>
      <c r="B50" s="209" t="s">
        <v>631</v>
      </c>
      <c r="G50" s="107"/>
      <c r="H50" s="107"/>
      <c r="I50" s="163" t="s">
        <v>632</v>
      </c>
      <c r="N50" s="107"/>
    </row>
    <row r="51" ht="8.25" customHeight="1">
      <c r="A51" s="107"/>
      <c r="B51" s="107"/>
      <c r="C51" s="107"/>
      <c r="D51" s="107"/>
      <c r="E51" s="107"/>
      <c r="F51" s="107"/>
      <c r="G51" s="107"/>
      <c r="H51" s="107"/>
      <c r="I51" s="107"/>
      <c r="J51" s="107"/>
      <c r="K51" s="107"/>
      <c r="L51" s="107"/>
      <c r="M51" s="107"/>
      <c r="N51" s="107"/>
    </row>
    <row r="52">
      <c r="A52" s="107"/>
      <c r="B52" s="210" t="s">
        <v>253</v>
      </c>
      <c r="N52" s="107"/>
    </row>
    <row r="53">
      <c r="A53" s="107"/>
      <c r="B53" s="210" t="s">
        <v>286</v>
      </c>
      <c r="N53" s="107"/>
    </row>
    <row r="54">
      <c r="A54" s="107"/>
      <c r="B54" s="107"/>
      <c r="C54" s="142"/>
      <c r="D54" s="107"/>
      <c r="E54" s="107"/>
      <c r="F54" s="107"/>
      <c r="G54" s="107"/>
      <c r="H54" s="107"/>
      <c r="I54" s="107"/>
      <c r="J54" s="142"/>
      <c r="K54" s="142"/>
      <c r="L54" s="142"/>
      <c r="M54" s="107"/>
      <c r="N54" s="107"/>
    </row>
    <row r="55">
      <c r="A55" s="107"/>
      <c r="B55" s="107"/>
      <c r="C55" s="142"/>
      <c r="D55" s="107"/>
      <c r="E55" s="107"/>
      <c r="F55" s="107"/>
      <c r="G55" s="107"/>
      <c r="H55" s="107"/>
      <c r="I55" s="107"/>
      <c r="J55" s="142"/>
      <c r="K55" s="142"/>
      <c r="L55" s="142"/>
      <c r="M55" s="107"/>
      <c r="N55" s="107"/>
    </row>
    <row r="56">
      <c r="A56" s="107"/>
      <c r="B56" s="107"/>
      <c r="C56" s="142"/>
      <c r="D56" s="107"/>
      <c r="E56" s="107"/>
      <c r="F56" s="107"/>
      <c r="G56" s="107"/>
      <c r="H56" s="107"/>
      <c r="I56" s="107"/>
      <c r="J56" s="142"/>
      <c r="K56" s="142"/>
      <c r="L56" s="142"/>
      <c r="M56" s="107"/>
      <c r="N56" s="107"/>
    </row>
    <row r="57">
      <c r="A57" s="107"/>
      <c r="B57" s="107"/>
      <c r="C57" s="142"/>
      <c r="D57" s="107"/>
      <c r="E57" s="107"/>
      <c r="F57" s="107"/>
      <c r="G57" s="107"/>
      <c r="H57" s="107"/>
      <c r="I57" s="107"/>
      <c r="J57" s="142"/>
      <c r="K57" s="142"/>
      <c r="L57" s="142"/>
      <c r="M57" s="107"/>
      <c r="N57" s="107"/>
    </row>
  </sheetData>
  <mergeCells count="34">
    <mergeCell ref="B1:J1"/>
    <mergeCell ref="C4:D4"/>
    <mergeCell ref="C5:D5"/>
    <mergeCell ref="B7:F7"/>
    <mergeCell ref="L7:M7"/>
    <mergeCell ref="B8:M8"/>
    <mergeCell ref="L10:M10"/>
    <mergeCell ref="B10:F10"/>
    <mergeCell ref="B11:M11"/>
    <mergeCell ref="H15:J15"/>
    <mergeCell ref="H17:J17"/>
    <mergeCell ref="H19:J19"/>
    <mergeCell ref="H21:J21"/>
    <mergeCell ref="H23:J23"/>
    <mergeCell ref="H25:J25"/>
    <mergeCell ref="H27:J27"/>
    <mergeCell ref="H29:J29"/>
    <mergeCell ref="H31:J31"/>
    <mergeCell ref="H33:J33"/>
    <mergeCell ref="B35:M35"/>
    <mergeCell ref="D37:F37"/>
    <mergeCell ref="G45:G47"/>
    <mergeCell ref="H45:H47"/>
    <mergeCell ref="B50:F50"/>
    <mergeCell ref="I50:M50"/>
    <mergeCell ref="B52:M52"/>
    <mergeCell ref="B53:M53"/>
    <mergeCell ref="D38:F47"/>
    <mergeCell ref="G38:G42"/>
    <mergeCell ref="H38:H42"/>
    <mergeCell ref="I38:I47"/>
    <mergeCell ref="J38:J47"/>
    <mergeCell ref="K38:K47"/>
    <mergeCell ref="L38:L47"/>
  </mergeCells>
  <hyperlinks>
    <hyperlink display="Lesson" location="C9TempLesson" ref="C4"/>
    <hyperlink display="Example" location="C10TemplateExample" ref="C5"/>
    <hyperlink display="Back to top ↑" location="C9TemplateTitle" ref="L7"/>
    <hyperlink display="Back to top ↑" location="C9TemplateTitle" ref="L10"/>
    <hyperlink display="← Chapter 8 Exercises: Avoiding Hallucinations" location="C8ExerciseTitle" ref="B50"/>
    <hyperlink display="Chapter 9: Complex Prompts for Legal Services →" location="C9LegalTitle" ref="I50"/>
    <hyperlink display="Back to top ↑" location="C9TemplateTitle" ref="B52"/>
    <hyperlink display="Table of Contents" location="IntroTitle" ref="B53"/>
  </hyperlink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showGridLines="0" workbookViewId="0"/>
  </sheetViews>
  <sheetFormatPr customHeight="1" defaultColWidth="12.63" defaultRowHeight="15.75"/>
  <cols>
    <col customWidth="1" min="1" max="1" width="5.5"/>
    <col customWidth="1" min="2" max="2" width="3.0"/>
    <col customWidth="1" min="3" max="3" width="4.0"/>
    <col customWidth="1" min="4" max="4" width="19.88"/>
    <col customWidth="1" min="5" max="5" width="1.5"/>
    <col customWidth="1" min="6" max="6" width="33.38"/>
    <col customWidth="1" min="7" max="7" width="4.0"/>
    <col customWidth="1" min="8" max="8" width="36.63"/>
    <col customWidth="1" min="9" max="9" width="4.0"/>
    <col customWidth="1" min="10" max="10" width="43.0"/>
    <col customWidth="1" min="11" max="11" width="4.0"/>
    <col customWidth="1" min="12" max="12" width="31.0"/>
    <col customWidth="1" min="13" max="13" width="3.0"/>
    <col customWidth="1" min="14" max="14" width="5.5"/>
  </cols>
  <sheetData>
    <row r="1" ht="32.25" customHeight="1">
      <c r="A1" s="132"/>
      <c r="B1" s="133" t="s">
        <v>633</v>
      </c>
      <c r="K1" s="185"/>
      <c r="L1" s="185"/>
      <c r="M1" s="134"/>
      <c r="N1" s="134"/>
    </row>
    <row r="2" ht="21.75" customHeight="1">
      <c r="A2" s="107"/>
      <c r="B2" s="107"/>
      <c r="C2" s="142"/>
      <c r="D2" s="107"/>
      <c r="E2" s="107"/>
      <c r="F2" s="107"/>
      <c r="G2" s="107"/>
      <c r="H2" s="107"/>
      <c r="I2" s="107"/>
      <c r="J2" s="142"/>
      <c r="K2" s="142"/>
      <c r="L2" s="142"/>
      <c r="M2" s="107"/>
      <c r="N2" s="107"/>
    </row>
    <row r="3" ht="21.75" customHeight="1">
      <c r="A3" s="135"/>
      <c r="B3" s="304" t="s">
        <v>249</v>
      </c>
      <c r="C3" s="107"/>
      <c r="D3" s="107"/>
      <c r="E3" s="107"/>
      <c r="F3" s="107"/>
      <c r="G3" s="107"/>
      <c r="H3" s="135"/>
      <c r="I3" s="135"/>
      <c r="J3" s="107"/>
      <c r="K3" s="107"/>
      <c r="L3" s="107"/>
      <c r="M3" s="107"/>
      <c r="N3" s="107"/>
    </row>
    <row r="4" ht="15.75" customHeight="1">
      <c r="A4" s="135"/>
      <c r="B4" s="107"/>
      <c r="C4" s="137" t="s">
        <v>226</v>
      </c>
      <c r="E4" s="107"/>
      <c r="F4" s="107"/>
      <c r="G4" s="107"/>
      <c r="H4" s="135"/>
      <c r="I4" s="107"/>
      <c r="J4" s="135"/>
      <c r="K4" s="135"/>
      <c r="L4" s="135"/>
      <c r="M4" s="107"/>
      <c r="N4" s="107"/>
    </row>
    <row r="5" ht="15.75" customHeight="1">
      <c r="A5" s="135"/>
      <c r="B5" s="107"/>
      <c r="C5" s="137" t="s">
        <v>574</v>
      </c>
      <c r="E5" s="107"/>
      <c r="F5" s="107"/>
      <c r="G5" s="107"/>
      <c r="H5" s="135"/>
      <c r="I5" s="107"/>
      <c r="J5" s="135"/>
      <c r="K5" s="135"/>
      <c r="L5" s="135"/>
      <c r="M5" s="107"/>
      <c r="N5" s="107"/>
    </row>
    <row r="6" ht="33.75" customHeight="1">
      <c r="A6" s="107"/>
      <c r="B6" s="138"/>
      <c r="C6" s="138"/>
      <c r="D6" s="138"/>
      <c r="E6" s="138"/>
      <c r="F6" s="138"/>
      <c r="G6" s="138"/>
      <c r="H6" s="138"/>
      <c r="I6" s="138"/>
      <c r="J6" s="138"/>
      <c r="K6" s="138"/>
      <c r="L6" s="138"/>
      <c r="M6" s="138"/>
      <c r="N6" s="107"/>
    </row>
    <row r="7" ht="29.25" customHeight="1">
      <c r="A7" s="139"/>
      <c r="B7" s="140" t="s">
        <v>226</v>
      </c>
      <c r="G7" s="142"/>
      <c r="H7" s="142"/>
      <c r="I7" s="142"/>
      <c r="J7" s="200"/>
      <c r="K7" s="200"/>
      <c r="L7" s="141" t="s">
        <v>253</v>
      </c>
      <c r="M7" s="12"/>
      <c r="N7" s="142"/>
    </row>
    <row r="8">
      <c r="A8" s="105"/>
      <c r="B8" s="321" t="s">
        <v>634</v>
      </c>
      <c r="C8" s="48"/>
      <c r="D8" s="48"/>
      <c r="E8" s="48"/>
      <c r="F8" s="48"/>
      <c r="G8" s="48"/>
      <c r="H8" s="48"/>
      <c r="I8" s="48"/>
      <c r="J8" s="48"/>
      <c r="K8" s="48"/>
      <c r="L8" s="48"/>
      <c r="M8" s="49"/>
      <c r="N8" s="107"/>
    </row>
    <row r="9" ht="33.75" customHeight="1">
      <c r="A9" s="107"/>
      <c r="B9" s="138"/>
      <c r="C9" s="189"/>
      <c r="D9" s="138"/>
      <c r="E9" s="138"/>
      <c r="F9" s="138"/>
      <c r="G9" s="138"/>
      <c r="H9" s="138"/>
      <c r="I9" s="138"/>
      <c r="J9" s="189"/>
      <c r="K9" s="189"/>
      <c r="L9" s="189"/>
      <c r="M9" s="138"/>
      <c r="N9" s="107"/>
    </row>
    <row r="10" ht="29.25" customHeight="1">
      <c r="A10" s="105"/>
      <c r="B10" s="140" t="s">
        <v>574</v>
      </c>
      <c r="G10" s="107"/>
      <c r="H10" s="107"/>
      <c r="I10" s="107"/>
      <c r="J10" s="200"/>
      <c r="K10" s="200"/>
      <c r="L10" s="141" t="s">
        <v>253</v>
      </c>
      <c r="M10" s="12"/>
      <c r="N10" s="107"/>
    </row>
    <row r="11">
      <c r="A11" s="105"/>
      <c r="B11" s="268" t="s">
        <v>635</v>
      </c>
      <c r="M11" s="12"/>
      <c r="N11" s="107"/>
    </row>
    <row r="12" ht="8.25" customHeight="1">
      <c r="A12" s="105"/>
      <c r="B12" s="135"/>
      <c r="C12" s="142"/>
      <c r="D12" s="107"/>
      <c r="E12" s="107"/>
      <c r="F12" s="107"/>
      <c r="G12" s="107"/>
      <c r="H12" s="107"/>
      <c r="I12" s="107"/>
      <c r="J12" s="142"/>
      <c r="K12" s="142"/>
      <c r="L12" s="142"/>
      <c r="M12" s="105"/>
      <c r="N12" s="107"/>
    </row>
    <row r="13" ht="15.75" customHeight="1">
      <c r="A13" s="105"/>
      <c r="B13" s="107"/>
      <c r="C13" s="200"/>
      <c r="D13" s="305" t="s">
        <v>577</v>
      </c>
      <c r="E13" s="107"/>
      <c r="F13" s="305" t="s">
        <v>578</v>
      </c>
      <c r="G13" s="107"/>
      <c r="H13" s="306" t="s">
        <v>574</v>
      </c>
      <c r="I13" s="200"/>
      <c r="J13" s="200"/>
      <c r="K13" s="107"/>
      <c r="L13" s="307" t="s">
        <v>636</v>
      </c>
      <c r="M13" s="105"/>
      <c r="N13" s="107"/>
    </row>
    <row r="14" ht="3.75" customHeight="1">
      <c r="A14" s="105"/>
      <c r="B14" s="107"/>
      <c r="C14" s="200"/>
      <c r="D14" s="135"/>
      <c r="E14" s="107"/>
      <c r="F14" s="170"/>
      <c r="G14" s="107"/>
      <c r="H14" s="308"/>
      <c r="I14" s="308"/>
      <c r="J14" s="308"/>
      <c r="K14" s="107"/>
      <c r="L14" s="170"/>
      <c r="M14" s="105"/>
      <c r="N14" s="107"/>
    </row>
    <row r="15">
      <c r="A15" s="105"/>
      <c r="B15" s="107"/>
      <c r="C15" s="309" t="s">
        <v>445</v>
      </c>
      <c r="D15" s="310" t="s">
        <v>580</v>
      </c>
      <c r="E15" s="161"/>
      <c r="F15" s="197" t="s">
        <v>581</v>
      </c>
      <c r="G15" s="110"/>
      <c r="H15" s="311" t="s">
        <v>582</v>
      </c>
      <c r="I15" s="285"/>
      <c r="J15" s="154"/>
      <c r="K15" s="110"/>
      <c r="L15" s="312" t="s">
        <v>637</v>
      </c>
      <c r="M15" s="105"/>
      <c r="N15" s="107"/>
    </row>
    <row r="16" ht="15.75" customHeight="1">
      <c r="A16" s="105"/>
      <c r="B16" s="107"/>
      <c r="C16" s="200"/>
      <c r="D16" s="200"/>
      <c r="E16" s="187"/>
      <c r="F16" s="313"/>
      <c r="G16" s="107"/>
      <c r="H16" s="313"/>
      <c r="I16" s="313"/>
      <c r="J16" s="313"/>
      <c r="K16" s="107"/>
      <c r="L16" s="313"/>
      <c r="M16" s="105"/>
      <c r="N16" s="107"/>
    </row>
    <row r="17">
      <c r="A17" s="105"/>
      <c r="B17" s="107"/>
      <c r="C17" s="309" t="s">
        <v>447</v>
      </c>
      <c r="D17" s="310" t="s">
        <v>584</v>
      </c>
      <c r="E17" s="161"/>
      <c r="F17" s="197" t="s">
        <v>585</v>
      </c>
      <c r="G17" s="110"/>
      <c r="H17" s="311" t="s">
        <v>638</v>
      </c>
      <c r="I17" s="285"/>
      <c r="J17" s="154"/>
      <c r="K17" s="110"/>
      <c r="L17" s="312" t="s">
        <v>587</v>
      </c>
      <c r="M17" s="105"/>
      <c r="N17" s="107"/>
    </row>
    <row r="18" ht="15.75" customHeight="1">
      <c r="A18" s="105"/>
      <c r="B18" s="107"/>
      <c r="C18" s="107"/>
      <c r="D18" s="107"/>
      <c r="E18" s="107"/>
      <c r="F18" s="314"/>
      <c r="G18" s="107"/>
      <c r="H18" s="314"/>
      <c r="I18" s="314"/>
      <c r="J18" s="314"/>
      <c r="K18" s="107"/>
      <c r="L18" s="314"/>
      <c r="M18" s="105"/>
      <c r="N18" s="107"/>
    </row>
    <row r="19">
      <c r="A19" s="105"/>
      <c r="B19" s="107"/>
      <c r="C19" s="315" t="s">
        <v>449</v>
      </c>
      <c r="D19" s="310" t="s">
        <v>588</v>
      </c>
      <c r="E19" s="110"/>
      <c r="F19" s="197" t="s">
        <v>589</v>
      </c>
      <c r="G19" s="110"/>
      <c r="H19" s="322"/>
      <c r="I19" s="285"/>
      <c r="J19" s="154"/>
      <c r="K19" s="110"/>
      <c r="L19" s="312" t="s">
        <v>591</v>
      </c>
      <c r="M19" s="105"/>
      <c r="N19" s="107"/>
    </row>
    <row r="20" ht="15.75" customHeight="1">
      <c r="A20" s="105"/>
      <c r="B20" s="107"/>
      <c r="C20" s="107"/>
      <c r="D20" s="107"/>
      <c r="E20" s="107"/>
      <c r="F20" s="314"/>
      <c r="G20" s="107"/>
      <c r="H20" s="314"/>
      <c r="I20" s="314"/>
      <c r="J20" s="314"/>
      <c r="K20" s="107"/>
      <c r="L20" s="314"/>
      <c r="M20" s="105"/>
      <c r="N20" s="107"/>
    </row>
    <row r="21">
      <c r="A21" s="105"/>
      <c r="B21" s="107"/>
      <c r="C21" s="309" t="s">
        <v>493</v>
      </c>
      <c r="D21" s="310" t="s">
        <v>601</v>
      </c>
      <c r="E21" s="161"/>
      <c r="F21" s="197" t="s">
        <v>602</v>
      </c>
      <c r="G21" s="110"/>
      <c r="H21" s="311" t="s">
        <v>639</v>
      </c>
      <c r="I21" s="285"/>
      <c r="J21" s="154"/>
      <c r="K21" s="110"/>
      <c r="L21" s="312" t="s">
        <v>640</v>
      </c>
      <c r="M21" s="105"/>
      <c r="N21" s="107"/>
    </row>
    <row r="22" ht="15.75" customHeight="1">
      <c r="A22" s="105"/>
      <c r="B22" s="107"/>
      <c r="C22" s="142"/>
      <c r="D22" s="107"/>
      <c r="E22" s="107"/>
      <c r="F22" s="314"/>
      <c r="G22" s="107"/>
      <c r="H22" s="308"/>
      <c r="I22" s="308"/>
      <c r="J22" s="308"/>
      <c r="K22" s="107"/>
      <c r="L22" s="308"/>
      <c r="M22" s="105"/>
      <c r="N22" s="107"/>
    </row>
    <row r="23" ht="63.75" customHeight="1">
      <c r="A23" s="105"/>
      <c r="B23" s="107"/>
      <c r="C23" s="309" t="s">
        <v>596</v>
      </c>
      <c r="D23" s="310" t="s">
        <v>250</v>
      </c>
      <c r="E23" s="161"/>
      <c r="F23" s="202" t="s">
        <v>641</v>
      </c>
      <c r="G23" s="110"/>
      <c r="H23" s="323" t="s">
        <v>642</v>
      </c>
      <c r="J23" s="113"/>
      <c r="K23" s="110"/>
      <c r="L23" s="324" t="s">
        <v>643</v>
      </c>
      <c r="M23" s="105"/>
      <c r="N23" s="107"/>
    </row>
    <row r="24" ht="63.75" customHeight="1">
      <c r="A24" s="105"/>
      <c r="B24" s="107"/>
      <c r="C24" s="200"/>
      <c r="D24" s="200"/>
      <c r="E24" s="161"/>
      <c r="F24" s="113"/>
      <c r="G24" s="110"/>
      <c r="J24" s="113"/>
      <c r="K24" s="110"/>
      <c r="L24" s="113"/>
      <c r="M24" s="105"/>
      <c r="N24" s="107"/>
    </row>
    <row r="25" ht="63.75" customHeight="1">
      <c r="A25" s="105"/>
      <c r="B25" s="107"/>
      <c r="C25" s="200"/>
      <c r="D25" s="200"/>
      <c r="E25" s="161"/>
      <c r="F25" s="113"/>
      <c r="G25" s="110"/>
      <c r="J25" s="113"/>
      <c r="K25" s="110"/>
      <c r="L25" s="113"/>
      <c r="M25" s="105"/>
      <c r="N25" s="107"/>
    </row>
    <row r="26" ht="63.75" customHeight="1">
      <c r="A26" s="105"/>
      <c r="B26" s="107"/>
      <c r="C26" s="200"/>
      <c r="D26" s="200"/>
      <c r="E26" s="161"/>
      <c r="F26" s="154"/>
      <c r="G26" s="110"/>
      <c r="H26" s="285"/>
      <c r="I26" s="285"/>
      <c r="J26" s="154"/>
      <c r="K26" s="110"/>
      <c r="L26" s="154"/>
      <c r="M26" s="105"/>
      <c r="N26" s="107"/>
    </row>
    <row r="27">
      <c r="A27" s="105"/>
      <c r="B27" s="107"/>
      <c r="C27" s="142"/>
      <c r="D27" s="107"/>
      <c r="E27" s="107"/>
      <c r="F27" s="314"/>
      <c r="G27" s="107"/>
      <c r="H27" s="308"/>
      <c r="I27" s="308"/>
      <c r="J27" s="308"/>
      <c r="K27" s="107"/>
      <c r="L27" s="308"/>
      <c r="M27" s="105"/>
      <c r="N27" s="107"/>
    </row>
    <row r="28" ht="63.75" customHeight="1">
      <c r="A28" s="105"/>
      <c r="B28" s="107"/>
      <c r="C28" s="309" t="s">
        <v>600</v>
      </c>
      <c r="D28" s="310" t="s">
        <v>592</v>
      </c>
      <c r="E28" s="161"/>
      <c r="F28" s="202" t="s">
        <v>593</v>
      </c>
      <c r="G28" s="110"/>
      <c r="H28" s="323" t="s">
        <v>644</v>
      </c>
      <c r="J28" s="113"/>
      <c r="K28" s="110"/>
      <c r="L28" s="324" t="s">
        <v>595</v>
      </c>
      <c r="M28" s="105"/>
      <c r="N28" s="107"/>
    </row>
    <row r="29" ht="63.75" customHeight="1">
      <c r="A29" s="105"/>
      <c r="B29" s="107"/>
      <c r="C29" s="200"/>
      <c r="D29" s="200"/>
      <c r="E29" s="161"/>
      <c r="F29" s="154"/>
      <c r="G29" s="110"/>
      <c r="H29" s="285"/>
      <c r="I29" s="285"/>
      <c r="J29" s="154"/>
      <c r="K29" s="110"/>
      <c r="L29" s="154"/>
      <c r="M29" s="105"/>
      <c r="N29" s="107"/>
    </row>
    <row r="30">
      <c r="A30" s="105"/>
      <c r="B30" s="107"/>
      <c r="C30" s="142"/>
      <c r="D30" s="107"/>
      <c r="E30" s="107"/>
      <c r="F30" s="314"/>
      <c r="G30" s="107"/>
      <c r="H30" s="308"/>
      <c r="I30" s="308"/>
      <c r="J30" s="308"/>
      <c r="K30" s="107"/>
      <c r="L30" s="308"/>
      <c r="M30" s="105"/>
      <c r="N30" s="107"/>
    </row>
    <row r="31" ht="63.75" customHeight="1">
      <c r="A31" s="105"/>
      <c r="B31" s="107"/>
      <c r="C31" s="309" t="s">
        <v>605</v>
      </c>
      <c r="D31" s="310" t="s">
        <v>606</v>
      </c>
      <c r="E31" s="161"/>
      <c r="F31" s="197" t="s">
        <v>607</v>
      </c>
      <c r="G31" s="110"/>
      <c r="H31" s="322"/>
      <c r="I31" s="285"/>
      <c r="J31" s="154"/>
      <c r="K31" s="110"/>
      <c r="L31" s="317" t="s">
        <v>609</v>
      </c>
      <c r="M31" s="105"/>
      <c r="N31" s="107"/>
    </row>
    <row r="32">
      <c r="A32" s="105"/>
      <c r="B32" s="107"/>
      <c r="C32" s="142"/>
      <c r="D32" s="107"/>
      <c r="E32" s="107"/>
      <c r="F32" s="314"/>
      <c r="G32" s="107"/>
      <c r="H32" s="308"/>
      <c r="I32" s="308"/>
      <c r="J32" s="308"/>
      <c r="K32" s="107"/>
      <c r="L32" s="308"/>
      <c r="M32" s="105"/>
      <c r="N32" s="107"/>
    </row>
    <row r="33" ht="63.75" customHeight="1">
      <c r="A33" s="105"/>
      <c r="B33" s="107"/>
      <c r="C33" s="309" t="s">
        <v>610</v>
      </c>
      <c r="D33" s="310" t="s">
        <v>645</v>
      </c>
      <c r="E33" s="161"/>
      <c r="F33" s="197" t="s">
        <v>612</v>
      </c>
      <c r="G33" s="110"/>
      <c r="H33" s="311" t="s">
        <v>646</v>
      </c>
      <c r="I33" s="285"/>
      <c r="J33" s="154"/>
      <c r="K33" s="110"/>
      <c r="L33" s="312" t="s">
        <v>647</v>
      </c>
      <c r="M33" s="105"/>
      <c r="N33" s="107"/>
    </row>
    <row r="34">
      <c r="A34" s="105"/>
      <c r="B34" s="107"/>
      <c r="C34" s="142"/>
      <c r="D34" s="107"/>
      <c r="E34" s="107"/>
      <c r="F34" s="314"/>
      <c r="G34" s="107"/>
      <c r="H34" s="308"/>
      <c r="I34" s="308"/>
      <c r="J34" s="308"/>
      <c r="K34" s="107"/>
      <c r="L34" s="308"/>
      <c r="M34" s="105"/>
      <c r="N34" s="107"/>
    </row>
    <row r="35" ht="101.25" customHeight="1">
      <c r="A35" s="105"/>
      <c r="B35" s="107"/>
      <c r="C35" s="309" t="s">
        <v>615</v>
      </c>
      <c r="D35" s="310" t="s">
        <v>648</v>
      </c>
      <c r="E35" s="161"/>
      <c r="F35" s="202" t="s">
        <v>617</v>
      </c>
      <c r="G35" s="110"/>
      <c r="H35" s="323" t="s">
        <v>649</v>
      </c>
      <c r="J35" s="113"/>
      <c r="K35" s="110"/>
      <c r="L35" s="324" t="s">
        <v>591</v>
      </c>
      <c r="M35" s="105"/>
      <c r="N35" s="107"/>
    </row>
    <row r="36" ht="101.25" customHeight="1">
      <c r="A36" s="105"/>
      <c r="B36" s="107"/>
      <c r="C36" s="200"/>
      <c r="D36" s="200"/>
      <c r="E36" s="161"/>
      <c r="F36" s="154"/>
      <c r="G36" s="110"/>
      <c r="H36" s="285"/>
      <c r="I36" s="285"/>
      <c r="J36" s="154"/>
      <c r="K36" s="110"/>
      <c r="L36" s="154"/>
      <c r="M36" s="105"/>
      <c r="N36" s="107"/>
    </row>
    <row r="37" ht="15.75" customHeight="1">
      <c r="A37" s="105"/>
      <c r="B37" s="107"/>
      <c r="C37" s="142"/>
      <c r="D37" s="107"/>
      <c r="E37" s="107"/>
      <c r="F37" s="314"/>
      <c r="G37" s="107"/>
      <c r="H37" s="308"/>
      <c r="I37" s="308"/>
      <c r="J37" s="308"/>
      <c r="K37" s="107"/>
      <c r="L37" s="308"/>
      <c r="M37" s="105"/>
      <c r="N37" s="107"/>
    </row>
    <row r="38">
      <c r="A38" s="105"/>
      <c r="B38" s="107"/>
      <c r="C38" s="309" t="s">
        <v>620</v>
      </c>
      <c r="D38" s="310" t="s">
        <v>621</v>
      </c>
      <c r="E38" s="161"/>
      <c r="F38" s="197" t="s">
        <v>650</v>
      </c>
      <c r="G38" s="110"/>
      <c r="H38" s="311" t="s">
        <v>651</v>
      </c>
      <c r="I38" s="285"/>
      <c r="J38" s="154"/>
      <c r="K38" s="110"/>
      <c r="L38" s="312" t="s">
        <v>624</v>
      </c>
      <c r="M38" s="105"/>
      <c r="N38" s="107"/>
    </row>
    <row r="39" ht="15.75" customHeight="1">
      <c r="A39" s="105"/>
      <c r="B39" s="107"/>
      <c r="C39" s="142"/>
      <c r="D39" s="107"/>
      <c r="E39" s="107"/>
      <c r="F39" s="107"/>
      <c r="G39" s="107"/>
      <c r="H39" s="107"/>
      <c r="I39" s="107"/>
      <c r="J39" s="142"/>
      <c r="K39" s="142"/>
      <c r="L39" s="142"/>
      <c r="M39" s="105"/>
      <c r="N39" s="107"/>
    </row>
    <row r="40">
      <c r="A40" s="105"/>
      <c r="B40" s="156" t="s">
        <v>652</v>
      </c>
      <c r="M40" s="12"/>
      <c r="N40" s="107"/>
    </row>
    <row r="41" ht="15.75" customHeight="1">
      <c r="A41" s="105"/>
      <c r="B41" s="107"/>
      <c r="C41" s="142"/>
      <c r="D41" s="107"/>
      <c r="E41" s="107"/>
      <c r="F41" s="107"/>
      <c r="G41" s="107"/>
      <c r="H41" s="107"/>
      <c r="I41" s="107"/>
      <c r="J41" s="142"/>
      <c r="K41" s="142"/>
      <c r="L41" s="142"/>
      <c r="M41" s="105"/>
      <c r="N41" s="107"/>
    </row>
    <row r="42">
      <c r="A42" s="105"/>
      <c r="B42" s="107"/>
      <c r="C42" s="200"/>
      <c r="D42" s="305" t="s">
        <v>626</v>
      </c>
      <c r="G42" s="107"/>
      <c r="H42" s="191" t="s">
        <v>399</v>
      </c>
      <c r="I42" s="135"/>
      <c r="J42" s="191" t="s">
        <v>628</v>
      </c>
      <c r="K42" s="107"/>
      <c r="L42" s="191" t="s">
        <v>264</v>
      </c>
      <c r="M42" s="105"/>
      <c r="N42" s="107"/>
    </row>
    <row r="43" ht="84.0" customHeight="1">
      <c r="A43" s="105"/>
      <c r="B43" s="107"/>
      <c r="C43" s="200"/>
      <c r="D43" s="325" t="str">
        <f>concatenate(H15," ",H17,if(isblank(H19),"",char(10)&amp;char(10)&amp;H19),if(isblank(H21),"",char(10)&amp;char(10)&amp;H21),if(isblank(H23),"",char(10)&amp;char(10)&amp;H23),if(isblank(H28),"",char(10)&amp;char(10)&amp;H28),if(isblank(H31),"",char(10)&amp;char(10)&amp;H31),if(isblank(H33),"",char(10)&amp;char(10)&amp;H33),if(isblank(H35),"",char(10)&amp;char(10)&amp;H35),if(isblank(H38),"",char(10)&amp;H38))</f>
        <v>User: You are an expert lawyer.
Here is some research that's been compiled. Use it to answer a legal question from the user.
&lt;legal_research&gt;
{{LEGAL_RESEARCH}}
&lt;/legal_research&gt;
When citing the legal research in your answer, please use brackets containing the search index ID, followed by a period. Put these at the end of the sentence that's doing the citing. Examples of proper citation format:
&lt;examples&gt;
&lt;example&gt;
The statute of limitations expires after 10 years for crimes like this. [3].
&lt;/example&gt;
&lt;example&gt;
However, the protection does not apply when it has been specifically waived by both parties. [5].
&lt;/example&gt;
&lt;/examples&gt;
Write a clear, concise answer to this question:
&lt;question&gt;
{{QUESTION}}
&lt;/question&gt;
It should be no more than a couple of paragraphs. If possible, it should conclude with a single sentence directly answering the user's question. However, if there is not sufficient information in the compiled research to produce such an answer, you may demur and write "Sorry, I do not have sufficient information at hand to answer this question.".
Before you answer, pull out the most relevant quotes from the research in &lt;relevant_quotes&gt; tags.
Put your two-paragraph response in &lt;answer&gt; tags.
Assistant: &lt;relevant_quotes&gt;</v>
      </c>
      <c r="E43" s="245"/>
      <c r="F43" s="246"/>
      <c r="G43" s="326" t="s">
        <v>365</v>
      </c>
      <c r="H43" s="202" t="s">
        <v>653</v>
      </c>
      <c r="I43" s="198" t="s">
        <v>367</v>
      </c>
      <c r="J43" s="204" t="str">
        <f>substitute(substitute(D43,"{{QUESTION}}",H43),"{{LEGAL_RESEARCH}}",H47)</f>
        <v>User: You are an expert lawyer.
Here is some research that's been compiled. Use it to answer a legal question from the user.
&lt;legal_research&gt;
&lt;search_results&gt;
&lt;search_result id=1&gt;
The animal health industry became caught up in a number of patent and trademark lawsuits during the past year. In 1994, Barclay Slocum obtained patents for the tibial plateau leveling osteotomy procedure, which is used in the treatment of dogs with cranial cruciate ligament rupture, and for the devices used in the procedure. During 2006, Slocum Enterprises filed a patent infringement suit against New Generation Devices, arguing that the Unity Cruciate Plate manufactured by New Generation infringed on the patent for the Slocum TPLO plate. However, the court never reached a decision on the issue of patent infringement, ruling that it did not have jurisdiction on the basis of the small number of plates sold in the state in which the case was filed and the information provided on a Web site maintained by Slocum Enterprises. Other patent battles waged during 2006 concerned the use of laser technology for onychectomy in cats, pet identification chips, pig vaccines, and pet “deshedding” tools.
&lt;/search_result&gt;
&lt;search_result id=2&gt;
In Canada, the British Columbia Veterinary Medical Association brought suit against a nonveterinarian, claiming that he engaged in cutting or otherwise removing hooks from horses' teeth and floating horses' teeth with power and manual tools, provided advice and diagnoses in return for a fee, and held himself out as being qualified and willing to provide treatment with respect to these activities. The court held that the intention of the legislature in passing the Veterinary Profession Act was the protection of the public and animals and further held that monopolistic statutes serve the purpose of protecting the public. In addition, the court concluded that dentistry, at its core, relates to the health of the teeth and gums; is distinct from cosmetic and other types of care of animals; and, therefore, falls under the definition of the practice of veterinary medicine. The nonveterinarian was enjoined from providing services without a veterinarian supervising the procedures.
&lt;/search_result&gt;
&lt;search_result id=3&gt;
The aftermath of Hurricane Katrina, which hit the Gulf Coast of the United States during 2005, spurred changes to the way animals are treated during natural disasters. In 2006, Hawaii, Louisiana, and New Hampshire all enacted laws that address issues regarding the care of animals during disasters, such as providing shelters for pets and allowing service animals to be kept with the people they serve. In addition, Congress passed, and the President signed, the Pet Evacuation and Transportation Standards Act during 2006, which requires state and local emergency preparedness authorities to include in their evacuation plans information on how they will accommodate household pets and service animals in case of a disaster. California passed a law that will require its Office of Emergency Services, Department of Agriculture, and other agencies involved with disaster response preparation to develop a plan for the needs of service animals, livestock, equids, and household pets in the event of a disaster or major emergency.
&lt;/search_result&gt;
&lt;/search_results&gt;
&lt;/legal_research&gt;
When citing the legal research in your answer, please use brackets containing the search index ID, followed by a period. Put these at the end of the sentence that's doing the citing. Examples of proper citation format:
&lt;examples&gt;
&lt;example&gt;
The statute of limitations expires after 10 years for crimes like this. [3].
&lt;/example&gt;
&lt;example&gt;
However, the protection does not apply when it has been specifically waived by both parties. [5].
&lt;/example&gt;
&lt;/examples&gt;
Write a clear, concise answer to this question:
&lt;question&gt;
Are there any laws about what to do with pets during a hurricane?
&lt;/question&gt;
It should be no more than a couple of paragraphs. If possible, it should conclude with a single sentence directly answering the user's question. However, if there is not sufficient information in the compiled research to produce such an answer, you may demur and write "Sorry, I do not have sufficient information at hand to answer this question.".
Before you answer, pull out the most relevant quotes from the research in &lt;relevant_quotes&gt; tags.
Put your two-paragraph response in &lt;answer&gt; tags.
Assistant: &lt;relevant_quotes&gt;</v>
      </c>
      <c r="K43" s="327" t="s">
        <v>266</v>
      </c>
      <c r="L43" s="328" t="str">
        <f>claudeMessages(J43, 'Tutorial How-To'!$E$37,"temperature",0)</f>
        <v>"In 2006, Hawaii, Louisiana, and New Hampshire all enacted laws that address issues regarding the care of animals during disasters, such as providing shelters for pets and allowing service animals to be kept with the people they serve. In addition, Congress passed, and the President signed, the Pet Evacuation and Transportation Standards Act during 2006, which requires state and local emergency preparedness authorities to include in their evacuation plans information on how they will accommodate household pets and service animals in case of a disaster." [3]
&lt;/relevant_quotes&gt;
&lt;answer&gt;
The legal research indicates that there are laws in place regarding the treatment of pets during natural disasters like hurricanes. Several states, including Hawaii, Louisiana, and New Hampshire, have enacted laws that require the provision of shelters for pets and the accommodation of service animals during disasters. [3] Additionally, at the federal level, the Pet Evacuation and Transportation Standards Act was passed in 2006, which mandates that state and local emergency preparedness authorities include plans for accommodating household pets and service animals in their evacuation procedures. [3]
In summary, there are laws in place that require authorities to make provisions for the care and evacuation of pets during major natural disasters like hurricanes.
&lt;/answer&gt;</v>
      </c>
      <c r="M43" s="105"/>
      <c r="N43" s="107"/>
    </row>
    <row r="44" ht="15.75" customHeight="1">
      <c r="A44" s="105"/>
      <c r="B44" s="107"/>
      <c r="C44" s="142"/>
      <c r="D44" s="248"/>
      <c r="F44" s="249"/>
      <c r="G44" s="113"/>
      <c r="H44" s="154"/>
      <c r="I44" s="113"/>
      <c r="J44" s="113"/>
      <c r="K44" s="113"/>
      <c r="L44" s="113"/>
      <c r="M44" s="105"/>
      <c r="N44" s="107"/>
    </row>
    <row r="45">
      <c r="A45" s="105"/>
      <c r="B45" s="107"/>
      <c r="C45" s="200"/>
      <c r="D45" s="248"/>
      <c r="F45" s="249"/>
      <c r="G45" s="107"/>
      <c r="H45" s="135"/>
      <c r="I45" s="113"/>
      <c r="J45" s="113"/>
      <c r="K45" s="113"/>
      <c r="L45" s="113"/>
      <c r="M45" s="105"/>
      <c r="N45" s="107"/>
    </row>
    <row r="46" ht="22.5" customHeight="1">
      <c r="A46" s="105"/>
      <c r="B46" s="107"/>
      <c r="C46" s="142"/>
      <c r="D46" s="248"/>
      <c r="F46" s="249"/>
      <c r="G46" s="107"/>
      <c r="H46" s="329" t="s">
        <v>654</v>
      </c>
      <c r="I46" s="113"/>
      <c r="J46" s="113"/>
      <c r="K46" s="113"/>
      <c r="L46" s="113"/>
      <c r="M46" s="105"/>
      <c r="N46" s="107"/>
    </row>
    <row r="47">
      <c r="A47" s="105"/>
      <c r="B47" s="135"/>
      <c r="C47" s="200"/>
      <c r="D47" s="248"/>
      <c r="F47" s="249"/>
      <c r="G47" s="196" t="s">
        <v>365</v>
      </c>
      <c r="H47" s="202" t="s">
        <v>655</v>
      </c>
      <c r="I47" s="113"/>
      <c r="J47" s="113"/>
      <c r="K47" s="113"/>
      <c r="L47" s="113"/>
      <c r="M47" s="144"/>
      <c r="N47" s="107"/>
    </row>
    <row r="48" ht="8.25" customHeight="1">
      <c r="A48" s="105"/>
      <c r="B48" s="107"/>
      <c r="C48" s="142"/>
      <c r="D48" s="248"/>
      <c r="F48" s="249"/>
      <c r="G48" s="113"/>
      <c r="H48" s="113"/>
      <c r="I48" s="113"/>
      <c r="J48" s="113"/>
      <c r="K48" s="113"/>
      <c r="L48" s="113"/>
      <c r="M48" s="105"/>
      <c r="N48" s="107"/>
    </row>
    <row r="49">
      <c r="A49" s="105"/>
      <c r="B49" s="107"/>
      <c r="C49" s="200"/>
      <c r="D49" s="248"/>
      <c r="F49" s="249"/>
      <c r="G49" s="113"/>
      <c r="H49" s="113"/>
      <c r="I49" s="113"/>
      <c r="J49" s="113"/>
      <c r="K49" s="113"/>
      <c r="L49" s="113"/>
      <c r="M49" s="105"/>
      <c r="N49" s="107"/>
    </row>
    <row r="50" ht="65.25" customHeight="1">
      <c r="A50" s="105"/>
      <c r="B50" s="107"/>
      <c r="C50" s="200"/>
      <c r="D50" s="248"/>
      <c r="F50" s="249"/>
      <c r="G50" s="113"/>
      <c r="H50" s="113"/>
      <c r="I50" s="113"/>
      <c r="J50" s="113"/>
      <c r="K50" s="113"/>
      <c r="L50" s="113"/>
      <c r="M50" s="105"/>
      <c r="N50" s="107"/>
    </row>
    <row r="51" ht="65.25" customHeight="1">
      <c r="A51" s="105"/>
      <c r="B51" s="107"/>
      <c r="C51" s="200"/>
      <c r="D51" s="248"/>
      <c r="F51" s="249"/>
      <c r="G51" s="113"/>
      <c r="H51" s="113"/>
      <c r="I51" s="113"/>
      <c r="J51" s="113"/>
      <c r="K51" s="113"/>
      <c r="L51" s="113"/>
      <c r="M51" s="105"/>
      <c r="N51" s="107"/>
    </row>
    <row r="52" ht="8.25" customHeight="1">
      <c r="A52" s="105"/>
      <c r="B52" s="107"/>
      <c r="C52" s="142"/>
      <c r="D52" s="248"/>
      <c r="F52" s="249"/>
      <c r="G52" s="113"/>
      <c r="H52" s="113"/>
      <c r="I52" s="113"/>
      <c r="J52" s="113"/>
      <c r="K52" s="113"/>
      <c r="L52" s="113"/>
      <c r="M52" s="105"/>
      <c r="N52" s="107"/>
    </row>
    <row r="53" ht="15.75" customHeight="1">
      <c r="A53" s="105"/>
      <c r="B53" s="107"/>
      <c r="C53" s="142"/>
      <c r="D53" s="248"/>
      <c r="F53" s="249"/>
      <c r="G53" s="113"/>
      <c r="H53" s="113"/>
      <c r="I53" s="113"/>
      <c r="J53" s="113"/>
      <c r="K53" s="113"/>
      <c r="L53" s="113"/>
      <c r="M53" s="105"/>
      <c r="N53" s="107"/>
    </row>
    <row r="54" ht="82.5" customHeight="1">
      <c r="A54" s="105"/>
      <c r="B54" s="107"/>
      <c r="C54" s="142"/>
      <c r="D54" s="248"/>
      <c r="F54" s="249"/>
      <c r="G54" s="113"/>
      <c r="H54" s="113"/>
      <c r="I54" s="113"/>
      <c r="J54" s="113"/>
      <c r="K54" s="113"/>
      <c r="L54" s="113"/>
      <c r="M54" s="105"/>
      <c r="N54" s="107"/>
    </row>
    <row r="55" ht="82.5" customHeight="1">
      <c r="A55" s="105"/>
      <c r="B55" s="107"/>
      <c r="C55" s="142"/>
      <c r="D55" s="248"/>
      <c r="F55" s="249"/>
      <c r="G55" s="113"/>
      <c r="H55" s="113"/>
      <c r="I55" s="113"/>
      <c r="J55" s="113"/>
      <c r="K55" s="113"/>
      <c r="L55" s="113"/>
      <c r="M55" s="105"/>
      <c r="N55" s="107"/>
    </row>
    <row r="56" ht="82.5" customHeight="1">
      <c r="A56" s="105"/>
      <c r="B56" s="107"/>
      <c r="C56" s="142"/>
      <c r="D56" s="248"/>
      <c r="F56" s="249"/>
      <c r="G56" s="113"/>
      <c r="H56" s="113"/>
      <c r="I56" s="113"/>
      <c r="J56" s="113"/>
      <c r="K56" s="113"/>
      <c r="L56" s="113"/>
      <c r="M56" s="105"/>
      <c r="N56" s="107"/>
    </row>
    <row r="57" ht="82.5" customHeight="1">
      <c r="A57" s="105"/>
      <c r="B57" s="107"/>
      <c r="C57" s="142"/>
      <c r="D57" s="248"/>
      <c r="F57" s="249"/>
      <c r="G57" s="113"/>
      <c r="H57" s="113"/>
      <c r="I57" s="113"/>
      <c r="J57" s="113"/>
      <c r="K57" s="113"/>
      <c r="L57" s="113"/>
      <c r="M57" s="105"/>
      <c r="N57" s="107"/>
    </row>
    <row r="58" ht="82.5" customHeight="1">
      <c r="A58" s="105"/>
      <c r="B58" s="107"/>
      <c r="C58" s="142"/>
      <c r="D58" s="248"/>
      <c r="F58" s="249"/>
      <c r="G58" s="113"/>
      <c r="H58" s="113"/>
      <c r="I58" s="113"/>
      <c r="J58" s="113"/>
      <c r="K58" s="113"/>
      <c r="L58" s="113"/>
      <c r="M58" s="105"/>
      <c r="N58" s="107"/>
    </row>
    <row r="59" ht="82.5" customHeight="1">
      <c r="A59" s="105"/>
      <c r="B59" s="107"/>
      <c r="C59" s="142"/>
      <c r="D59" s="248"/>
      <c r="F59" s="249"/>
      <c r="G59" s="113"/>
      <c r="H59" s="113"/>
      <c r="I59" s="113"/>
      <c r="J59" s="113"/>
      <c r="K59" s="113"/>
      <c r="L59" s="113"/>
      <c r="M59" s="105"/>
      <c r="N59" s="107"/>
    </row>
    <row r="60" ht="82.5" customHeight="1">
      <c r="A60" s="105"/>
      <c r="B60" s="107"/>
      <c r="C60" s="142"/>
      <c r="D60" s="250"/>
      <c r="E60" s="251"/>
      <c r="F60" s="252"/>
      <c r="G60" s="113"/>
      <c r="H60" s="154"/>
      <c r="I60" s="113"/>
      <c r="J60" s="154"/>
      <c r="K60" s="113"/>
      <c r="L60" s="154"/>
      <c r="M60" s="105"/>
      <c r="N60" s="107"/>
    </row>
    <row r="61" ht="82.5" customHeight="1">
      <c r="A61" s="105"/>
      <c r="B61" s="138"/>
      <c r="C61" s="189"/>
      <c r="D61" s="330"/>
      <c r="E61" s="330"/>
      <c r="F61" s="330"/>
      <c r="G61" s="330"/>
      <c r="H61" s="330"/>
      <c r="I61" s="330"/>
      <c r="J61" s="207"/>
      <c r="K61" s="207"/>
      <c r="L61" s="207"/>
      <c r="M61" s="172"/>
      <c r="N61" s="107"/>
    </row>
    <row r="62">
      <c r="A62" s="107"/>
      <c r="B62" s="107"/>
      <c r="C62" s="142"/>
      <c r="D62" s="135"/>
      <c r="E62" s="135"/>
      <c r="F62" s="135"/>
      <c r="G62" s="135"/>
      <c r="H62" s="135"/>
      <c r="I62" s="135"/>
      <c r="J62" s="200"/>
      <c r="K62" s="200"/>
      <c r="L62" s="200"/>
      <c r="M62" s="107"/>
      <c r="N62" s="107"/>
    </row>
    <row r="63">
      <c r="A63" s="107"/>
      <c r="B63" s="173" t="s">
        <v>656</v>
      </c>
      <c r="G63" s="135"/>
      <c r="H63" s="135"/>
      <c r="I63" s="163" t="s">
        <v>657</v>
      </c>
      <c r="N63" s="107"/>
    </row>
    <row r="64" ht="8.25" customHeight="1"/>
    <row r="65">
      <c r="A65" s="107"/>
      <c r="B65" s="175" t="s">
        <v>253</v>
      </c>
      <c r="N65" s="107"/>
    </row>
    <row r="66">
      <c r="A66" s="107"/>
      <c r="B66" s="175" t="s">
        <v>286</v>
      </c>
      <c r="N66" s="107"/>
    </row>
    <row r="67">
      <c r="A67" s="107"/>
      <c r="B67" s="107"/>
      <c r="C67" s="142"/>
      <c r="D67" s="135"/>
      <c r="E67" s="135"/>
      <c r="F67" s="135"/>
      <c r="G67" s="135"/>
      <c r="H67" s="135"/>
      <c r="I67" s="135"/>
      <c r="J67" s="200"/>
      <c r="K67" s="200"/>
      <c r="L67" s="200"/>
      <c r="M67" s="107"/>
      <c r="N67" s="107"/>
    </row>
    <row r="68" ht="15.75" customHeight="1">
      <c r="A68" s="107"/>
      <c r="B68" s="107"/>
      <c r="C68" s="142"/>
      <c r="D68" s="107"/>
      <c r="E68" s="107"/>
      <c r="F68" s="107"/>
      <c r="G68" s="107"/>
      <c r="H68" s="107"/>
      <c r="I68" s="107"/>
      <c r="J68" s="142"/>
      <c r="K68" s="142"/>
      <c r="L68" s="142"/>
      <c r="M68" s="107"/>
      <c r="N68" s="107"/>
    </row>
    <row r="69">
      <c r="A69" s="107"/>
      <c r="B69" s="107"/>
      <c r="C69" s="142"/>
      <c r="D69" s="107"/>
      <c r="E69" s="107"/>
      <c r="F69" s="107"/>
      <c r="G69" s="107"/>
      <c r="H69" s="107"/>
      <c r="I69" s="107"/>
      <c r="J69" s="142"/>
      <c r="K69" s="142"/>
      <c r="L69" s="142"/>
      <c r="M69" s="107"/>
      <c r="N69" s="107"/>
    </row>
    <row r="70">
      <c r="A70" s="107"/>
      <c r="B70" s="135"/>
      <c r="C70" s="200"/>
      <c r="D70" s="135"/>
      <c r="E70" s="135"/>
      <c r="F70" s="135"/>
      <c r="G70" s="107"/>
      <c r="H70" s="107"/>
      <c r="I70" s="135"/>
      <c r="J70" s="200"/>
      <c r="K70" s="200"/>
      <c r="L70" s="200"/>
      <c r="M70" s="135"/>
      <c r="N70" s="107"/>
    </row>
  </sheetData>
  <mergeCells count="40">
    <mergeCell ref="K43:K60"/>
    <mergeCell ref="L43:L60"/>
    <mergeCell ref="F35:F36"/>
    <mergeCell ref="H35:J36"/>
    <mergeCell ref="L35:L36"/>
    <mergeCell ref="H38:J38"/>
    <mergeCell ref="B40:M40"/>
    <mergeCell ref="D42:F42"/>
    <mergeCell ref="D43:F60"/>
    <mergeCell ref="B1:J1"/>
    <mergeCell ref="C4:D4"/>
    <mergeCell ref="C5:D5"/>
    <mergeCell ref="B7:F7"/>
    <mergeCell ref="L7:M7"/>
    <mergeCell ref="B8:M8"/>
    <mergeCell ref="L10:M10"/>
    <mergeCell ref="B10:F10"/>
    <mergeCell ref="B11:M11"/>
    <mergeCell ref="H15:J15"/>
    <mergeCell ref="H17:J17"/>
    <mergeCell ref="H19:J19"/>
    <mergeCell ref="H21:J21"/>
    <mergeCell ref="F23:F26"/>
    <mergeCell ref="H23:J26"/>
    <mergeCell ref="L23:L26"/>
    <mergeCell ref="F28:F29"/>
    <mergeCell ref="H28:J29"/>
    <mergeCell ref="L28:L29"/>
    <mergeCell ref="H31:J31"/>
    <mergeCell ref="H33:J33"/>
    <mergeCell ref="G43:G44"/>
    <mergeCell ref="H43:H44"/>
    <mergeCell ref="I43:I60"/>
    <mergeCell ref="J43:J60"/>
    <mergeCell ref="G47:G60"/>
    <mergeCell ref="H47:H60"/>
    <mergeCell ref="B63:F63"/>
    <mergeCell ref="I63:M63"/>
    <mergeCell ref="B65:M65"/>
    <mergeCell ref="B66:M66"/>
  </mergeCells>
  <hyperlinks>
    <hyperlink display="Lesson" location="C9LegalLesson" ref="C4"/>
    <hyperlink display="Example" location="C9LegalExample" ref="C5"/>
    <hyperlink display="Back to top ↑" location="C9LegalTitle" ref="L7"/>
    <hyperlink display="Back to top ↑" location="C9LegalTitle" ref="L10"/>
    <hyperlink display="← Chapter 9: Complex Prompts from Scratch - Chatbot" location="C9TemplateTitle" ref="B63"/>
    <hyperlink display="Chapter 9: Complex Prompts for Financial Services →" location="C9FinancialTitle" ref="I63"/>
    <hyperlink display="Back to top ↑" location="C9LegalTitle" ref="B65"/>
    <hyperlink display="Table of Contents" location="IntroTitle" ref="B66"/>
  </hyperlink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showGridLines="0" workbookViewId="0"/>
  </sheetViews>
  <sheetFormatPr customHeight="1" defaultColWidth="12.63" defaultRowHeight="15.75"/>
  <cols>
    <col customWidth="1" min="1" max="1" width="5.5"/>
    <col customWidth="1" min="2" max="2" width="3.0"/>
    <col customWidth="1" min="3" max="3" width="4.0"/>
    <col customWidth="1" min="4" max="4" width="19.88"/>
    <col customWidth="1" min="5" max="5" width="1.5"/>
    <col customWidth="1" min="6" max="6" width="42.13"/>
    <col customWidth="1" min="7" max="7" width="4.0"/>
    <col customWidth="1" min="8" max="8" width="28.25"/>
    <col customWidth="1" min="9" max="9" width="4.0"/>
    <col customWidth="1" min="10" max="10" width="43.0"/>
    <col customWidth="1" min="11" max="11" width="4.0"/>
    <col customWidth="1" min="12" max="12" width="31.0"/>
    <col customWidth="1" min="13" max="13" width="3.0"/>
    <col customWidth="1" min="14" max="14" width="5.5"/>
  </cols>
  <sheetData>
    <row r="1" ht="32.25" customHeight="1">
      <c r="A1" s="132"/>
      <c r="B1" s="133" t="s">
        <v>658</v>
      </c>
      <c r="K1" s="185"/>
      <c r="L1" s="185"/>
      <c r="M1" s="134"/>
      <c r="N1" s="134"/>
    </row>
    <row r="2" ht="21.75" customHeight="1">
      <c r="A2" s="107"/>
      <c r="B2" s="107"/>
      <c r="C2" s="142"/>
      <c r="D2" s="107"/>
      <c r="E2" s="107"/>
      <c r="F2" s="107"/>
      <c r="G2" s="107"/>
      <c r="H2" s="107"/>
      <c r="I2" s="107"/>
      <c r="J2" s="142"/>
      <c r="K2" s="142"/>
      <c r="L2" s="142"/>
      <c r="M2" s="107"/>
      <c r="N2" s="107"/>
    </row>
    <row r="3" ht="21.75" customHeight="1">
      <c r="A3" s="135"/>
      <c r="B3" s="304" t="s">
        <v>249</v>
      </c>
      <c r="C3" s="107"/>
      <c r="D3" s="107"/>
      <c r="E3" s="107"/>
      <c r="F3" s="107"/>
      <c r="G3" s="107"/>
      <c r="H3" s="135"/>
      <c r="I3" s="135"/>
      <c r="J3" s="107"/>
      <c r="K3" s="107"/>
      <c r="L3" s="107"/>
      <c r="M3" s="107"/>
      <c r="N3" s="107"/>
    </row>
    <row r="4" ht="15.75" customHeight="1">
      <c r="A4" s="135"/>
      <c r="B4" s="107"/>
      <c r="C4" s="137" t="s">
        <v>659</v>
      </c>
      <c r="G4" s="107"/>
      <c r="H4" s="135"/>
      <c r="I4" s="107"/>
      <c r="J4" s="135"/>
      <c r="K4" s="135"/>
      <c r="L4" s="135"/>
      <c r="M4" s="107"/>
      <c r="N4" s="107"/>
    </row>
    <row r="5" ht="33.75" customHeight="1">
      <c r="A5" s="135"/>
      <c r="B5" s="138"/>
      <c r="C5" s="330"/>
      <c r="D5" s="330"/>
      <c r="E5" s="138"/>
      <c r="F5" s="138"/>
      <c r="G5" s="138"/>
      <c r="H5" s="330"/>
      <c r="I5" s="138"/>
      <c r="J5" s="330"/>
      <c r="K5" s="330"/>
      <c r="L5" s="330"/>
      <c r="M5" s="138"/>
      <c r="N5" s="107"/>
    </row>
    <row r="6" ht="33.75" customHeight="1">
      <c r="A6" s="105"/>
      <c r="B6" s="331" t="s">
        <v>574</v>
      </c>
      <c r="G6" s="107"/>
      <c r="H6" s="107"/>
      <c r="I6" s="107"/>
      <c r="J6" s="142"/>
      <c r="K6" s="142"/>
      <c r="L6" s="332" t="s">
        <v>253</v>
      </c>
      <c r="M6" s="12"/>
      <c r="N6" s="107"/>
    </row>
    <row r="7">
      <c r="A7" s="105"/>
      <c r="B7" s="333" t="s">
        <v>660</v>
      </c>
      <c r="M7" s="12"/>
      <c r="N7" s="107"/>
    </row>
    <row r="8">
      <c r="A8" s="105"/>
      <c r="B8" s="135"/>
      <c r="C8" s="200"/>
      <c r="D8" s="135"/>
      <c r="E8" s="135"/>
      <c r="F8" s="135"/>
      <c r="G8" s="135"/>
      <c r="H8" s="135"/>
      <c r="I8" s="135"/>
      <c r="J8" s="200"/>
      <c r="K8" s="200"/>
      <c r="L8" s="200"/>
      <c r="M8" s="144"/>
      <c r="N8" s="107"/>
    </row>
    <row r="9">
      <c r="A9" s="105"/>
      <c r="B9" s="107"/>
      <c r="C9" s="142"/>
      <c r="D9" s="334" t="s">
        <v>577</v>
      </c>
      <c r="E9" s="107"/>
      <c r="F9" s="334" t="s">
        <v>578</v>
      </c>
      <c r="G9" s="107"/>
      <c r="H9" s="335" t="s">
        <v>574</v>
      </c>
      <c r="I9" s="142"/>
      <c r="J9" s="142"/>
      <c r="K9" s="107"/>
      <c r="L9" s="336" t="s">
        <v>636</v>
      </c>
      <c r="M9" s="105"/>
      <c r="N9" s="107"/>
    </row>
    <row r="10" ht="3.75" customHeight="1">
      <c r="A10" s="105"/>
      <c r="B10" s="135"/>
      <c r="C10" s="200"/>
      <c r="D10" s="135"/>
      <c r="E10" s="135"/>
      <c r="F10" s="170"/>
      <c r="G10" s="107"/>
      <c r="H10" s="308"/>
      <c r="I10" s="308"/>
      <c r="J10" s="313"/>
      <c r="K10" s="135"/>
      <c r="L10" s="170"/>
      <c r="M10" s="144"/>
      <c r="N10" s="107"/>
    </row>
    <row r="11">
      <c r="A11" s="105"/>
      <c r="B11" s="135"/>
      <c r="C11" s="309" t="s">
        <v>445</v>
      </c>
      <c r="D11" s="310" t="s">
        <v>580</v>
      </c>
      <c r="E11" s="161"/>
      <c r="F11" s="197" t="s">
        <v>581</v>
      </c>
      <c r="G11" s="160"/>
      <c r="H11" s="311" t="s">
        <v>582</v>
      </c>
      <c r="I11" s="285"/>
      <c r="J11" s="154"/>
      <c r="K11" s="160"/>
      <c r="L11" s="312" t="s">
        <v>661</v>
      </c>
      <c r="M11" s="144"/>
      <c r="N11" s="107"/>
    </row>
    <row r="12" ht="15.75" customHeight="1">
      <c r="A12" s="105"/>
      <c r="B12" s="107"/>
      <c r="C12" s="135"/>
      <c r="D12" s="135"/>
      <c r="E12" s="135"/>
      <c r="F12" s="170"/>
      <c r="G12" s="107"/>
      <c r="H12" s="170"/>
      <c r="I12" s="170"/>
      <c r="J12" s="170"/>
      <c r="K12" s="107"/>
      <c r="L12" s="170"/>
      <c r="M12" s="105"/>
      <c r="N12" s="107"/>
    </row>
    <row r="13" ht="15.75" customHeight="1">
      <c r="A13" s="105"/>
      <c r="B13" s="107"/>
      <c r="C13" s="309" t="s">
        <v>447</v>
      </c>
      <c r="D13" s="310" t="s">
        <v>584</v>
      </c>
      <c r="E13" s="155"/>
      <c r="F13" s="197" t="s">
        <v>585</v>
      </c>
      <c r="G13" s="110"/>
      <c r="H13" s="311"/>
      <c r="I13" s="285"/>
      <c r="J13" s="154"/>
      <c r="K13" s="110"/>
      <c r="L13" s="312" t="s">
        <v>587</v>
      </c>
      <c r="M13" s="105"/>
      <c r="N13" s="107"/>
    </row>
    <row r="14" ht="15.75" customHeight="1">
      <c r="A14" s="105"/>
      <c r="B14" s="107"/>
      <c r="C14" s="135"/>
      <c r="D14" s="135"/>
      <c r="E14" s="135"/>
      <c r="F14" s="170"/>
      <c r="G14" s="107"/>
      <c r="H14" s="170"/>
      <c r="I14" s="170"/>
      <c r="J14" s="170"/>
      <c r="K14" s="107"/>
      <c r="L14" s="170"/>
      <c r="M14" s="105"/>
      <c r="N14" s="107"/>
    </row>
    <row r="15">
      <c r="A15" s="105"/>
      <c r="B15" s="107"/>
      <c r="C15" s="309" t="s">
        <v>449</v>
      </c>
      <c r="D15" s="310" t="s">
        <v>662</v>
      </c>
      <c r="E15" s="160"/>
      <c r="F15" s="197" t="s">
        <v>589</v>
      </c>
      <c r="G15" s="110"/>
      <c r="H15" s="322"/>
      <c r="I15" s="285"/>
      <c r="J15" s="154"/>
      <c r="K15" s="110"/>
      <c r="L15" s="312" t="s">
        <v>591</v>
      </c>
      <c r="M15" s="105"/>
      <c r="N15" s="107"/>
    </row>
    <row r="16" ht="15.75" customHeight="1">
      <c r="A16" s="105"/>
      <c r="B16" s="107"/>
      <c r="C16" s="135"/>
      <c r="D16" s="135"/>
      <c r="E16" s="135"/>
      <c r="F16" s="170"/>
      <c r="G16" s="107"/>
      <c r="H16" s="170"/>
      <c r="I16" s="170"/>
      <c r="J16" s="170"/>
      <c r="K16" s="107"/>
      <c r="L16" s="170"/>
      <c r="M16" s="105"/>
      <c r="N16" s="107"/>
    </row>
    <row r="17">
      <c r="A17" s="105"/>
      <c r="B17" s="107"/>
      <c r="C17" s="309" t="s">
        <v>493</v>
      </c>
      <c r="D17" s="310" t="s">
        <v>601</v>
      </c>
      <c r="E17" s="161"/>
      <c r="F17" s="197" t="s">
        <v>602</v>
      </c>
      <c r="G17" s="110"/>
      <c r="H17" s="311"/>
      <c r="I17" s="285"/>
      <c r="J17" s="154"/>
      <c r="K17" s="110"/>
      <c r="L17" s="312" t="s">
        <v>640</v>
      </c>
      <c r="M17" s="105"/>
      <c r="N17" s="107"/>
    </row>
    <row r="18" ht="15.75" customHeight="1">
      <c r="A18" s="105"/>
      <c r="B18" s="107"/>
      <c r="C18" s="142"/>
      <c r="D18" s="107"/>
      <c r="E18" s="107"/>
      <c r="F18" s="314"/>
      <c r="G18" s="107"/>
      <c r="H18" s="308"/>
      <c r="I18" s="308"/>
      <c r="J18" s="308"/>
      <c r="K18" s="107"/>
      <c r="L18" s="308"/>
      <c r="M18" s="105"/>
      <c r="N18" s="107"/>
    </row>
    <row r="19">
      <c r="A19" s="105"/>
      <c r="B19" s="107"/>
      <c r="C19" s="315" t="s">
        <v>596</v>
      </c>
      <c r="D19" s="310" t="s">
        <v>250</v>
      </c>
      <c r="E19" s="155"/>
      <c r="F19" s="197" t="s">
        <v>597</v>
      </c>
      <c r="G19" s="110"/>
      <c r="H19" s="311"/>
      <c r="I19" s="285"/>
      <c r="J19" s="154"/>
      <c r="K19" s="110"/>
      <c r="L19" s="312" t="s">
        <v>643</v>
      </c>
      <c r="M19" s="105"/>
      <c r="N19" s="107"/>
    </row>
    <row r="20">
      <c r="A20" s="105"/>
      <c r="B20" s="107"/>
      <c r="C20" s="142"/>
      <c r="D20" s="107"/>
      <c r="E20" s="107"/>
      <c r="F20" s="314"/>
      <c r="G20" s="107"/>
      <c r="H20" s="308"/>
      <c r="I20" s="308"/>
      <c r="J20" s="308"/>
      <c r="K20" s="107"/>
      <c r="L20" s="308"/>
      <c r="M20" s="105"/>
      <c r="N20" s="107"/>
    </row>
    <row r="21">
      <c r="A21" s="105"/>
      <c r="B21" s="107"/>
      <c r="C21" s="309" t="s">
        <v>600</v>
      </c>
      <c r="D21" s="310" t="s">
        <v>592</v>
      </c>
      <c r="E21" s="161"/>
      <c r="F21" s="197" t="s">
        <v>593</v>
      </c>
      <c r="G21" s="110"/>
      <c r="H21" s="311"/>
      <c r="I21" s="285"/>
      <c r="J21" s="154"/>
      <c r="K21" s="110"/>
      <c r="L21" s="312" t="s">
        <v>595</v>
      </c>
      <c r="M21" s="105"/>
      <c r="N21" s="107"/>
    </row>
    <row r="22" ht="15.75" customHeight="1">
      <c r="A22" s="105"/>
      <c r="B22" s="107"/>
      <c r="C22" s="142"/>
      <c r="D22" s="107"/>
      <c r="E22" s="107"/>
      <c r="F22" s="314"/>
      <c r="G22" s="107"/>
      <c r="H22" s="308"/>
      <c r="I22" s="308"/>
      <c r="J22" s="308"/>
      <c r="K22" s="107"/>
      <c r="L22" s="308"/>
      <c r="M22" s="105"/>
      <c r="N22" s="107"/>
    </row>
    <row r="23">
      <c r="A23" s="105"/>
      <c r="B23" s="107"/>
      <c r="C23" s="309" t="s">
        <v>605</v>
      </c>
      <c r="D23" s="310" t="s">
        <v>663</v>
      </c>
      <c r="E23" s="161"/>
      <c r="F23" s="197" t="s">
        <v>607</v>
      </c>
      <c r="G23" s="110"/>
      <c r="H23" s="311"/>
      <c r="I23" s="285"/>
      <c r="J23" s="154"/>
      <c r="K23" s="110"/>
      <c r="L23" s="317" t="s">
        <v>609</v>
      </c>
      <c r="M23" s="105"/>
      <c r="N23" s="107"/>
    </row>
    <row r="24" ht="15.75" customHeight="1">
      <c r="A24" s="105"/>
      <c r="B24" s="107"/>
      <c r="C24" s="142"/>
      <c r="D24" s="107"/>
      <c r="E24" s="107"/>
      <c r="F24" s="314"/>
      <c r="G24" s="107"/>
      <c r="H24" s="308"/>
      <c r="I24" s="308"/>
      <c r="J24" s="308"/>
      <c r="K24" s="107"/>
      <c r="L24" s="308"/>
      <c r="M24" s="105"/>
      <c r="N24" s="107"/>
    </row>
    <row r="25">
      <c r="A25" s="105"/>
      <c r="B25" s="107"/>
      <c r="C25" s="309" t="s">
        <v>610</v>
      </c>
      <c r="D25" s="310" t="s">
        <v>645</v>
      </c>
      <c r="E25" s="161"/>
      <c r="F25" s="197" t="s">
        <v>612</v>
      </c>
      <c r="G25" s="110"/>
      <c r="H25" s="322"/>
      <c r="I25" s="285"/>
      <c r="J25" s="154"/>
      <c r="K25" s="110"/>
      <c r="L25" s="312" t="s">
        <v>664</v>
      </c>
      <c r="M25" s="105"/>
      <c r="N25" s="107"/>
    </row>
    <row r="26" ht="15.75" customHeight="1">
      <c r="A26" s="105"/>
      <c r="B26" s="107"/>
      <c r="C26" s="142"/>
      <c r="D26" s="107"/>
      <c r="E26" s="107"/>
      <c r="F26" s="314"/>
      <c r="G26" s="107"/>
      <c r="H26" s="308"/>
      <c r="I26" s="308"/>
      <c r="J26" s="308"/>
      <c r="K26" s="107"/>
      <c r="L26" s="308"/>
      <c r="M26" s="105"/>
      <c r="N26" s="107"/>
    </row>
    <row r="27">
      <c r="A27" s="105"/>
      <c r="B27" s="107"/>
      <c r="C27" s="309" t="s">
        <v>615</v>
      </c>
      <c r="D27" s="310" t="s">
        <v>648</v>
      </c>
      <c r="E27" s="161"/>
      <c r="F27" s="197" t="s">
        <v>617</v>
      </c>
      <c r="G27" s="110"/>
      <c r="H27" s="322"/>
      <c r="I27" s="285"/>
      <c r="J27" s="154"/>
      <c r="K27" s="110"/>
      <c r="L27" s="312" t="s">
        <v>591</v>
      </c>
      <c r="M27" s="105"/>
      <c r="N27" s="107"/>
    </row>
    <row r="28" ht="15.75" customHeight="1">
      <c r="A28" s="105"/>
      <c r="B28" s="107"/>
      <c r="C28" s="142"/>
      <c r="D28" s="107"/>
      <c r="E28" s="107"/>
      <c r="F28" s="314"/>
      <c r="G28" s="107"/>
      <c r="H28" s="314"/>
      <c r="I28" s="308"/>
      <c r="J28" s="308"/>
      <c r="K28" s="107"/>
      <c r="L28" s="308"/>
      <c r="M28" s="105"/>
      <c r="N28" s="107"/>
    </row>
    <row r="29">
      <c r="A29" s="105"/>
      <c r="B29" s="107"/>
      <c r="C29" s="309" t="s">
        <v>620</v>
      </c>
      <c r="D29" s="310" t="s">
        <v>621</v>
      </c>
      <c r="E29" s="161"/>
      <c r="F29" s="197" t="s">
        <v>665</v>
      </c>
      <c r="G29" s="110"/>
      <c r="H29" s="322"/>
      <c r="I29" s="285"/>
      <c r="J29" s="154"/>
      <c r="K29" s="110"/>
      <c r="L29" s="312" t="s">
        <v>624</v>
      </c>
      <c r="M29" s="105"/>
      <c r="N29" s="107"/>
    </row>
    <row r="30" ht="15.75" customHeight="1">
      <c r="A30" s="105"/>
      <c r="B30" s="107"/>
      <c r="C30" s="142"/>
      <c r="D30" s="107"/>
      <c r="E30" s="107"/>
      <c r="F30" s="107"/>
      <c r="G30" s="107"/>
      <c r="H30" s="107"/>
      <c r="I30" s="107"/>
      <c r="J30" s="142"/>
      <c r="K30" s="142"/>
      <c r="L30" s="142"/>
      <c r="M30" s="105"/>
      <c r="N30" s="107"/>
    </row>
    <row r="31">
      <c r="A31" s="105"/>
      <c r="B31" s="156" t="s">
        <v>666</v>
      </c>
      <c r="M31" s="12"/>
      <c r="N31" s="107"/>
    </row>
    <row r="32" ht="15.75" customHeight="1">
      <c r="A32" s="105"/>
      <c r="B32" s="107"/>
      <c r="C32" s="142"/>
      <c r="D32" s="107"/>
      <c r="E32" s="107"/>
      <c r="F32" s="107"/>
      <c r="G32" s="107"/>
      <c r="H32" s="107"/>
      <c r="I32" s="107"/>
      <c r="J32" s="142"/>
      <c r="K32" s="142"/>
      <c r="L32" s="142"/>
      <c r="M32" s="105"/>
      <c r="N32" s="107"/>
    </row>
    <row r="33">
      <c r="A33" s="105"/>
      <c r="B33" s="107"/>
      <c r="C33" s="200"/>
      <c r="D33" s="305" t="s">
        <v>626</v>
      </c>
      <c r="G33" s="107"/>
      <c r="H33" s="191" t="s">
        <v>399</v>
      </c>
      <c r="I33" s="135"/>
      <c r="J33" s="191" t="s">
        <v>628</v>
      </c>
      <c r="K33" s="107"/>
      <c r="L33" s="191" t="s">
        <v>264</v>
      </c>
      <c r="M33" s="105"/>
      <c r="N33" s="107"/>
    </row>
    <row r="34" ht="22.5" customHeight="1">
      <c r="A34" s="105"/>
      <c r="B34" s="107"/>
      <c r="C34" s="320"/>
      <c r="D34" s="337" t="str">
        <f>concatenate(H11," ",H13,if(isblank(H15),"",char(10)&amp;char(10)&amp;H15),if(isblank(H17),"",char(10)&amp;char(10)&amp;H17),if(isblank(H19),"",char(10)&amp;char(10)&amp;H19),if(isblank(H21),"",char(10)&amp;char(10)&amp;H21),if(isblank(H23),"",char(10)&amp;char(10)&amp;H23),if(isblank(H25),"",char(10)&amp;char(10)&amp;H25),if(isblank(H27),"",char(10)&amp;char(10)&amp;H27),if(isblank(H29),"",char(10)&amp;H29))</f>
        <v>User: </v>
      </c>
      <c r="E34" s="245"/>
      <c r="F34" s="246"/>
      <c r="G34" s="338" t="s">
        <v>365</v>
      </c>
      <c r="H34" s="339" t="s">
        <v>667</v>
      </c>
      <c r="I34" s="340" t="s">
        <v>367</v>
      </c>
      <c r="J34" s="157" t="str">
        <f>substitute(substitute(D34,"{{QUESTION}}",H34),"{{TAX_CODE}}",H38)</f>
        <v>User: </v>
      </c>
      <c r="K34" s="327" t="s">
        <v>266</v>
      </c>
      <c r="L34" s="328" t="str">
        <f>claudeMessages(J34, 'Tutorial How-To'!$E$37,"temperature",0)</f>
        <v>#ERROR!</v>
      </c>
      <c r="M34" s="105"/>
      <c r="N34" s="107"/>
    </row>
    <row r="35">
      <c r="A35" s="105"/>
      <c r="B35" s="135"/>
      <c r="C35" s="318"/>
      <c r="D35" s="248"/>
      <c r="F35" s="249"/>
      <c r="G35" s="113"/>
      <c r="H35" s="154"/>
      <c r="I35" s="113"/>
      <c r="J35" s="113"/>
      <c r="K35" s="113"/>
      <c r="L35" s="113"/>
      <c r="M35" s="144"/>
      <c r="N35" s="107"/>
    </row>
    <row r="36" ht="8.25" customHeight="1">
      <c r="A36" s="105"/>
      <c r="B36" s="107"/>
      <c r="C36" s="320"/>
      <c r="D36" s="248"/>
      <c r="F36" s="249"/>
      <c r="G36" s="107"/>
      <c r="H36" s="107"/>
      <c r="I36" s="113"/>
      <c r="J36" s="113"/>
      <c r="K36" s="113"/>
      <c r="L36" s="113"/>
      <c r="M36" s="105"/>
      <c r="N36" s="107"/>
    </row>
    <row r="37">
      <c r="A37" s="105"/>
      <c r="B37" s="107"/>
      <c r="C37" s="318"/>
      <c r="D37" s="248"/>
      <c r="F37" s="249"/>
      <c r="G37" s="107"/>
      <c r="H37" s="191" t="s">
        <v>668</v>
      </c>
      <c r="I37" s="113"/>
      <c r="J37" s="113"/>
      <c r="K37" s="113"/>
      <c r="L37" s="113"/>
      <c r="M37" s="105"/>
      <c r="N37" s="107"/>
    </row>
    <row r="38" ht="65.25" customHeight="1">
      <c r="A38" s="105"/>
      <c r="B38" s="107"/>
      <c r="C38" s="318"/>
      <c r="D38" s="248"/>
      <c r="F38" s="249"/>
      <c r="G38" s="196" t="s">
        <v>365</v>
      </c>
      <c r="H38" s="202" t="s">
        <v>669</v>
      </c>
      <c r="I38" s="113"/>
      <c r="J38" s="113"/>
      <c r="K38" s="113"/>
      <c r="L38" s="113"/>
      <c r="M38" s="105"/>
      <c r="N38" s="107"/>
    </row>
    <row r="39" ht="65.25" customHeight="1">
      <c r="A39" s="105"/>
      <c r="B39" s="107"/>
      <c r="C39" s="318"/>
      <c r="D39" s="248"/>
      <c r="F39" s="249"/>
      <c r="G39" s="113"/>
      <c r="H39" s="113"/>
      <c r="I39" s="113"/>
      <c r="J39" s="113"/>
      <c r="K39" s="113"/>
      <c r="L39" s="113"/>
      <c r="M39" s="105"/>
      <c r="N39" s="107"/>
    </row>
    <row r="40" ht="8.25" customHeight="1">
      <c r="A40" s="105"/>
      <c r="B40" s="107"/>
      <c r="C40" s="320"/>
      <c r="D40" s="248"/>
      <c r="F40" s="249"/>
      <c r="G40" s="113"/>
      <c r="H40" s="113"/>
      <c r="I40" s="113"/>
      <c r="J40" s="113"/>
      <c r="K40" s="113"/>
      <c r="L40" s="113"/>
      <c r="M40" s="105"/>
      <c r="N40" s="107"/>
    </row>
    <row r="41" ht="15.75" customHeight="1">
      <c r="A41" s="105"/>
      <c r="B41" s="107"/>
      <c r="C41" s="320"/>
      <c r="D41" s="248"/>
      <c r="F41" s="249"/>
      <c r="G41" s="113"/>
      <c r="H41" s="113"/>
      <c r="I41" s="113"/>
      <c r="J41" s="113"/>
      <c r="K41" s="113"/>
      <c r="L41" s="113"/>
      <c r="M41" s="105"/>
      <c r="N41" s="107"/>
    </row>
    <row r="42" ht="81.75" customHeight="1">
      <c r="A42" s="105"/>
      <c r="B42" s="107"/>
      <c r="C42" s="320"/>
      <c r="D42" s="250"/>
      <c r="E42" s="251"/>
      <c r="F42" s="252"/>
      <c r="G42" s="113"/>
      <c r="H42" s="154"/>
      <c r="I42" s="113"/>
      <c r="J42" s="154"/>
      <c r="K42" s="113"/>
      <c r="L42" s="154"/>
      <c r="M42" s="105"/>
      <c r="N42" s="107"/>
    </row>
    <row r="43">
      <c r="A43" s="105"/>
      <c r="B43" s="138"/>
      <c r="C43" s="189"/>
      <c r="D43" s="330"/>
      <c r="E43" s="330"/>
      <c r="F43" s="330"/>
      <c r="G43" s="330"/>
      <c r="H43" s="330"/>
      <c r="I43" s="330"/>
      <c r="J43" s="207"/>
      <c r="K43" s="207"/>
      <c r="L43" s="207"/>
      <c r="M43" s="172"/>
      <c r="N43" s="107"/>
    </row>
    <row r="44">
      <c r="A44" s="107"/>
      <c r="B44" s="107"/>
      <c r="C44" s="142"/>
      <c r="D44" s="135"/>
      <c r="E44" s="135"/>
      <c r="F44" s="135"/>
      <c r="G44" s="135"/>
      <c r="H44" s="135"/>
      <c r="I44" s="135"/>
      <c r="J44" s="200"/>
      <c r="K44" s="200"/>
      <c r="L44" s="200"/>
      <c r="M44" s="107"/>
      <c r="N44" s="107"/>
    </row>
    <row r="45">
      <c r="A45" s="107"/>
      <c r="B45" s="173" t="s">
        <v>670</v>
      </c>
      <c r="G45" s="135"/>
      <c r="H45" s="135"/>
      <c r="I45" s="163" t="s">
        <v>671</v>
      </c>
      <c r="N45" s="107"/>
    </row>
    <row r="46" ht="8.25" customHeight="1">
      <c r="A46" s="107"/>
      <c r="B46" s="107"/>
      <c r="C46" s="142"/>
      <c r="D46" s="107"/>
      <c r="E46" s="107"/>
      <c r="F46" s="107"/>
      <c r="G46" s="107"/>
      <c r="H46" s="107"/>
      <c r="I46" s="107"/>
      <c r="J46" s="142"/>
      <c r="K46" s="142"/>
      <c r="L46" s="142"/>
      <c r="M46" s="107"/>
      <c r="N46" s="107"/>
    </row>
    <row r="47">
      <c r="A47" s="107"/>
      <c r="B47" s="175" t="s">
        <v>253</v>
      </c>
      <c r="N47" s="107"/>
    </row>
    <row r="48">
      <c r="A48" s="107"/>
      <c r="B48" s="175" t="s">
        <v>286</v>
      </c>
      <c r="N48" s="107"/>
    </row>
    <row r="49">
      <c r="A49" s="107"/>
      <c r="B49" s="135"/>
      <c r="C49" s="200"/>
      <c r="D49" s="135"/>
      <c r="E49" s="135"/>
      <c r="F49" s="135"/>
      <c r="G49" s="107"/>
      <c r="H49" s="107"/>
      <c r="I49" s="135"/>
      <c r="J49" s="200"/>
      <c r="K49" s="200"/>
      <c r="L49" s="200"/>
      <c r="M49" s="135"/>
      <c r="N49" s="107"/>
    </row>
    <row r="50">
      <c r="A50" s="107"/>
      <c r="B50" s="135"/>
      <c r="C50" s="200"/>
      <c r="D50" s="135"/>
      <c r="E50" s="135"/>
      <c r="F50" s="135"/>
      <c r="G50" s="135"/>
      <c r="H50" s="135"/>
      <c r="I50" s="135"/>
      <c r="J50" s="200"/>
      <c r="K50" s="200"/>
      <c r="L50" s="200"/>
      <c r="M50" s="135"/>
      <c r="N50" s="107"/>
    </row>
    <row r="51">
      <c r="A51" s="107"/>
      <c r="B51" s="135"/>
      <c r="C51" s="200"/>
      <c r="D51" s="135"/>
      <c r="E51" s="135"/>
      <c r="F51" s="135"/>
      <c r="G51" s="135"/>
      <c r="H51" s="135"/>
      <c r="I51" s="135"/>
      <c r="J51" s="200"/>
      <c r="K51" s="200"/>
      <c r="L51" s="200"/>
      <c r="M51" s="135"/>
      <c r="N51" s="107"/>
    </row>
    <row r="52">
      <c r="C52" s="341"/>
      <c r="H52" s="96"/>
      <c r="J52" s="70"/>
      <c r="K52" s="70"/>
      <c r="L52" s="70"/>
    </row>
  </sheetData>
  <mergeCells count="30">
    <mergeCell ref="B1:J1"/>
    <mergeCell ref="C4:F4"/>
    <mergeCell ref="B6:F6"/>
    <mergeCell ref="L6:M6"/>
    <mergeCell ref="B7:M7"/>
    <mergeCell ref="H11:J11"/>
    <mergeCell ref="H13:J13"/>
    <mergeCell ref="H15:J15"/>
    <mergeCell ref="H17:J17"/>
    <mergeCell ref="H19:J19"/>
    <mergeCell ref="H21:J21"/>
    <mergeCell ref="H23:J23"/>
    <mergeCell ref="H25:J25"/>
    <mergeCell ref="H27:J27"/>
    <mergeCell ref="J34:J42"/>
    <mergeCell ref="K34:K42"/>
    <mergeCell ref="G34:G35"/>
    <mergeCell ref="G38:G42"/>
    <mergeCell ref="D34:F42"/>
    <mergeCell ref="B45:F45"/>
    <mergeCell ref="I45:M45"/>
    <mergeCell ref="B47:M47"/>
    <mergeCell ref="B48:M48"/>
    <mergeCell ref="H29:J29"/>
    <mergeCell ref="B31:M31"/>
    <mergeCell ref="D33:F33"/>
    <mergeCell ref="H34:H35"/>
    <mergeCell ref="I34:I42"/>
    <mergeCell ref="L34:L42"/>
    <mergeCell ref="H38:H42"/>
  </mergeCells>
  <hyperlinks>
    <hyperlink display="Exercise 9.1 - Financial Chatbot" location="C9FinancialExample" ref="C4"/>
    <hyperlink display="Back to top ↑" location="C9FinancialTitle" ref="L6"/>
    <hyperlink display="← Chapter 9: Complex Prompts for Legal Services" location="C9LegalTitle" ref="B45"/>
    <hyperlink display="Chapter 9 Exercises: Complex Prompts for Coding →" location="C9CodingTitle" ref="I45"/>
    <hyperlink display="Back to top ↑" location="C9FinancialTitle" ref="B47"/>
    <hyperlink display="Table of Contents" location="IntroTitle" ref="B48"/>
  </hyperlink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showGridLines="0" workbookViewId="0"/>
  </sheetViews>
  <sheetFormatPr customHeight="1" defaultColWidth="12.63" defaultRowHeight="15.75"/>
  <cols>
    <col customWidth="1" min="1" max="1" width="5.5"/>
    <col customWidth="1" min="2" max="2" width="3.0"/>
    <col customWidth="1" min="3" max="3" width="4.0"/>
    <col customWidth="1" min="4" max="4" width="19.88"/>
    <col customWidth="1" min="5" max="5" width="1.5"/>
    <col customWidth="1" min="6" max="6" width="42.13"/>
    <col customWidth="1" min="7" max="7" width="4.0"/>
    <col customWidth="1" min="8" max="8" width="29.75"/>
    <col customWidth="1" min="9" max="9" width="4.0"/>
    <col customWidth="1" min="10" max="10" width="34.88"/>
    <col customWidth="1" min="11" max="11" width="4.0"/>
    <col customWidth="1" min="12" max="12" width="47.5"/>
    <col customWidth="1" min="13" max="13" width="3.0"/>
    <col customWidth="1" min="14" max="14" width="5.5"/>
  </cols>
  <sheetData>
    <row r="1" ht="32.25" customHeight="1">
      <c r="A1" s="132"/>
      <c r="B1" s="303" t="s">
        <v>672</v>
      </c>
      <c r="K1" s="185"/>
      <c r="L1" s="185"/>
      <c r="M1" s="134"/>
      <c r="N1" s="134"/>
    </row>
    <row r="2" ht="21.75" customHeight="1">
      <c r="A2" s="107"/>
      <c r="B2" s="107"/>
      <c r="C2" s="142"/>
      <c r="D2" s="107"/>
      <c r="E2" s="107"/>
      <c r="F2" s="107"/>
      <c r="G2" s="107"/>
      <c r="H2" s="107"/>
      <c r="I2" s="107"/>
      <c r="J2" s="142"/>
      <c r="K2" s="142"/>
      <c r="L2" s="142"/>
      <c r="M2" s="107"/>
      <c r="N2" s="107"/>
    </row>
    <row r="3" ht="21.75" customHeight="1">
      <c r="A3" s="135"/>
      <c r="B3" s="304" t="s">
        <v>249</v>
      </c>
      <c r="C3" s="107"/>
      <c r="D3" s="107"/>
      <c r="E3" s="107"/>
      <c r="F3" s="107"/>
      <c r="G3" s="107"/>
      <c r="H3" s="135"/>
      <c r="I3" s="135"/>
      <c r="J3" s="107"/>
      <c r="K3" s="107"/>
      <c r="L3" s="107"/>
      <c r="M3" s="107"/>
      <c r="N3" s="107"/>
    </row>
    <row r="4" ht="15.75" customHeight="1">
      <c r="A4" s="135"/>
      <c r="B4" s="107"/>
      <c r="C4" s="137" t="s">
        <v>673</v>
      </c>
      <c r="E4" s="107"/>
      <c r="F4" s="107"/>
      <c r="G4" s="107"/>
      <c r="H4" s="135"/>
      <c r="I4" s="107"/>
      <c r="J4" s="135"/>
      <c r="K4" s="135"/>
      <c r="L4" s="135"/>
      <c r="M4" s="107"/>
      <c r="N4" s="107"/>
    </row>
    <row r="5" ht="33.75" customHeight="1">
      <c r="A5" s="107"/>
      <c r="B5" s="138"/>
      <c r="C5" s="138"/>
      <c r="D5" s="138"/>
      <c r="E5" s="138"/>
      <c r="F5" s="138"/>
      <c r="G5" s="138"/>
      <c r="H5" s="138"/>
      <c r="I5" s="138"/>
      <c r="J5" s="138"/>
      <c r="K5" s="138"/>
      <c r="L5" s="138"/>
      <c r="M5" s="138"/>
      <c r="N5" s="107"/>
    </row>
    <row r="6" ht="29.25" customHeight="1">
      <c r="A6" s="105"/>
      <c r="B6" s="140" t="s">
        <v>673</v>
      </c>
      <c r="G6" s="107"/>
      <c r="H6" s="107"/>
      <c r="I6" s="107"/>
      <c r="J6" s="200"/>
      <c r="K6" s="200"/>
      <c r="L6" s="141" t="s">
        <v>253</v>
      </c>
      <c r="M6" s="12"/>
      <c r="N6" s="107"/>
    </row>
    <row r="7">
      <c r="A7" s="105"/>
      <c r="B7" s="268" t="s">
        <v>674</v>
      </c>
      <c r="M7" s="12"/>
      <c r="N7" s="107"/>
    </row>
    <row r="8" ht="8.25" customHeight="1">
      <c r="A8" s="105"/>
      <c r="B8" s="135"/>
      <c r="C8" s="142"/>
      <c r="D8" s="107"/>
      <c r="E8" s="107"/>
      <c r="F8" s="107"/>
      <c r="G8" s="107"/>
      <c r="H8" s="107"/>
      <c r="I8" s="107"/>
      <c r="J8" s="142"/>
      <c r="K8" s="142"/>
      <c r="L8" s="142"/>
      <c r="M8" s="105"/>
      <c r="N8" s="107"/>
    </row>
    <row r="9" ht="15.75" customHeight="1">
      <c r="A9" s="105"/>
      <c r="B9" s="107"/>
      <c r="C9" s="200"/>
      <c r="D9" s="305" t="s">
        <v>577</v>
      </c>
      <c r="E9" s="107"/>
      <c r="F9" s="305" t="s">
        <v>578</v>
      </c>
      <c r="G9" s="107"/>
      <c r="H9" s="306" t="s">
        <v>574</v>
      </c>
      <c r="I9" s="200"/>
      <c r="J9" s="200"/>
      <c r="K9" s="107"/>
      <c r="L9" s="307" t="s">
        <v>636</v>
      </c>
      <c r="M9" s="105"/>
      <c r="N9" s="107"/>
    </row>
    <row r="10" ht="3.75" customHeight="1">
      <c r="A10" s="105"/>
      <c r="B10" s="107"/>
      <c r="C10" s="200"/>
      <c r="D10" s="135"/>
      <c r="E10" s="107"/>
      <c r="F10" s="170"/>
      <c r="G10" s="107"/>
      <c r="H10" s="308"/>
      <c r="I10" s="308"/>
      <c r="J10" s="308"/>
      <c r="K10" s="107"/>
      <c r="L10" s="170"/>
      <c r="M10" s="105"/>
      <c r="N10" s="107"/>
    </row>
    <row r="11">
      <c r="A11" s="105"/>
      <c r="B11" s="107"/>
      <c r="C11" s="309" t="s">
        <v>445</v>
      </c>
      <c r="D11" s="310" t="s">
        <v>580</v>
      </c>
      <c r="E11" s="160"/>
      <c r="F11" s="197" t="s">
        <v>581</v>
      </c>
      <c r="G11" s="110"/>
      <c r="H11" s="311" t="s">
        <v>582</v>
      </c>
      <c r="I11" s="285"/>
      <c r="J11" s="154"/>
      <c r="K11" s="110"/>
      <c r="L11" s="312" t="s">
        <v>675</v>
      </c>
      <c r="M11" s="105"/>
      <c r="N11" s="107"/>
    </row>
    <row r="12" ht="15.75" customHeight="1">
      <c r="A12" s="105"/>
      <c r="B12" s="107"/>
      <c r="C12" s="200"/>
      <c r="D12" s="200"/>
      <c r="E12" s="135"/>
      <c r="F12" s="313"/>
      <c r="G12" s="107"/>
      <c r="H12" s="313"/>
      <c r="I12" s="313"/>
      <c r="J12" s="313"/>
      <c r="K12" s="107"/>
      <c r="L12" s="313"/>
      <c r="M12" s="105"/>
      <c r="N12" s="107"/>
    </row>
    <row r="13">
      <c r="A13" s="105"/>
      <c r="B13" s="107"/>
      <c r="C13" s="309" t="s">
        <v>447</v>
      </c>
      <c r="D13" s="310" t="s">
        <v>584</v>
      </c>
      <c r="E13" s="160"/>
      <c r="F13" s="197" t="s">
        <v>585</v>
      </c>
      <c r="G13" s="110"/>
      <c r="H13" s="311"/>
      <c r="I13" s="285"/>
      <c r="J13" s="154"/>
      <c r="K13" s="110"/>
      <c r="L13" s="312" t="s">
        <v>587</v>
      </c>
      <c r="M13" s="105"/>
      <c r="N13" s="107"/>
    </row>
    <row r="14" ht="15.75" customHeight="1">
      <c r="A14" s="105"/>
      <c r="B14" s="107"/>
      <c r="C14" s="107"/>
      <c r="D14" s="107"/>
      <c r="E14" s="107"/>
      <c r="F14" s="314"/>
      <c r="G14" s="107"/>
      <c r="H14" s="314"/>
      <c r="I14" s="314"/>
      <c r="J14" s="314"/>
      <c r="K14" s="107"/>
      <c r="L14" s="314"/>
      <c r="M14" s="105"/>
      <c r="N14" s="107"/>
    </row>
    <row r="15">
      <c r="A15" s="105"/>
      <c r="B15" s="107"/>
      <c r="C15" s="315" t="s">
        <v>449</v>
      </c>
      <c r="D15" s="310" t="s">
        <v>662</v>
      </c>
      <c r="E15" s="110"/>
      <c r="F15" s="197" t="s">
        <v>589</v>
      </c>
      <c r="G15" s="110"/>
      <c r="H15" s="311"/>
      <c r="I15" s="285"/>
      <c r="J15" s="154"/>
      <c r="K15" s="110"/>
      <c r="L15" s="312" t="s">
        <v>591</v>
      </c>
      <c r="M15" s="105"/>
      <c r="N15" s="107"/>
    </row>
    <row r="16" ht="15.75" customHeight="1">
      <c r="A16" s="105"/>
      <c r="B16" s="107"/>
      <c r="C16" s="107"/>
      <c r="D16" s="107"/>
      <c r="E16" s="107"/>
      <c r="F16" s="314"/>
      <c r="G16" s="107"/>
      <c r="H16" s="314"/>
      <c r="I16" s="314"/>
      <c r="J16" s="314"/>
      <c r="K16" s="107"/>
      <c r="L16" s="314"/>
      <c r="M16" s="105"/>
      <c r="N16" s="107"/>
    </row>
    <row r="17" ht="101.25" customHeight="1">
      <c r="A17" s="105"/>
      <c r="B17" s="107"/>
      <c r="C17" s="309" t="s">
        <v>493</v>
      </c>
      <c r="D17" s="310" t="s">
        <v>592</v>
      </c>
      <c r="E17" s="160"/>
      <c r="F17" s="202" t="s">
        <v>676</v>
      </c>
      <c r="G17" s="110"/>
      <c r="H17" s="323"/>
      <c r="J17" s="113"/>
      <c r="K17" s="110"/>
      <c r="L17" s="324" t="s">
        <v>595</v>
      </c>
      <c r="M17" s="105"/>
      <c r="N17" s="107"/>
    </row>
    <row r="18" ht="101.25" customHeight="1">
      <c r="A18" s="105"/>
      <c r="B18" s="107"/>
      <c r="C18" s="200"/>
      <c r="D18" s="200"/>
      <c r="E18" s="160"/>
      <c r="F18" s="154"/>
      <c r="G18" s="110"/>
      <c r="H18" s="285"/>
      <c r="I18" s="285"/>
      <c r="J18" s="154"/>
      <c r="K18" s="110"/>
      <c r="L18" s="154"/>
      <c r="M18" s="105"/>
      <c r="N18" s="107"/>
    </row>
    <row r="19" ht="15.75" customHeight="1">
      <c r="A19" s="105"/>
      <c r="B19" s="107"/>
      <c r="C19" s="142"/>
      <c r="D19" s="107"/>
      <c r="E19" s="107"/>
      <c r="F19" s="314"/>
      <c r="G19" s="107"/>
      <c r="H19" s="308"/>
      <c r="I19" s="308"/>
      <c r="J19" s="308"/>
      <c r="K19" s="107"/>
      <c r="L19" s="308"/>
      <c r="M19" s="105"/>
      <c r="N19" s="107"/>
    </row>
    <row r="20" ht="98.25" customHeight="1">
      <c r="A20" s="105"/>
      <c r="B20" s="107"/>
      <c r="C20" s="309" t="s">
        <v>596</v>
      </c>
      <c r="D20" s="310" t="s">
        <v>250</v>
      </c>
      <c r="E20" s="160"/>
      <c r="F20" s="202" t="s">
        <v>597</v>
      </c>
      <c r="G20" s="110"/>
      <c r="H20" s="323"/>
      <c r="J20" s="113"/>
      <c r="K20" s="110"/>
      <c r="L20" s="324" t="s">
        <v>643</v>
      </c>
      <c r="M20" s="105"/>
      <c r="N20" s="107"/>
    </row>
    <row r="21" ht="98.25" customHeight="1">
      <c r="A21" s="105"/>
      <c r="B21" s="107"/>
      <c r="C21" s="200"/>
      <c r="D21" s="200"/>
      <c r="E21" s="160"/>
      <c r="F21" s="113"/>
      <c r="G21" s="110"/>
      <c r="J21" s="113"/>
      <c r="K21" s="110"/>
      <c r="L21" s="113"/>
      <c r="M21" s="105"/>
      <c r="N21" s="107"/>
    </row>
    <row r="22" ht="98.25" customHeight="1">
      <c r="A22" s="105"/>
      <c r="B22" s="107"/>
      <c r="C22" s="200"/>
      <c r="D22" s="200"/>
      <c r="E22" s="160"/>
      <c r="F22" s="154"/>
      <c r="G22" s="110"/>
      <c r="H22" s="285"/>
      <c r="I22" s="285"/>
      <c r="J22" s="154"/>
      <c r="K22" s="110"/>
      <c r="L22" s="154"/>
      <c r="M22" s="105"/>
      <c r="N22" s="107"/>
    </row>
    <row r="23" ht="15.75" customHeight="1">
      <c r="A23" s="105"/>
      <c r="B23" s="107"/>
      <c r="C23" s="142"/>
      <c r="D23" s="107"/>
      <c r="E23" s="107"/>
      <c r="F23" s="314"/>
      <c r="G23" s="107"/>
      <c r="H23" s="308"/>
      <c r="I23" s="308"/>
      <c r="J23" s="308"/>
      <c r="K23" s="107"/>
      <c r="L23" s="308"/>
      <c r="M23" s="105"/>
      <c r="N23" s="107"/>
    </row>
    <row r="24">
      <c r="A24" s="105"/>
      <c r="B24" s="107"/>
      <c r="C24" s="309" t="s">
        <v>600</v>
      </c>
      <c r="D24" s="310" t="s">
        <v>601</v>
      </c>
      <c r="E24" s="160"/>
      <c r="F24" s="197" t="s">
        <v>677</v>
      </c>
      <c r="G24" s="110"/>
      <c r="H24" s="311"/>
      <c r="I24" s="285"/>
      <c r="J24" s="154"/>
      <c r="K24" s="110"/>
      <c r="L24" s="312" t="s">
        <v>678</v>
      </c>
      <c r="M24" s="105"/>
      <c r="N24" s="107"/>
    </row>
    <row r="25" ht="15.75" customHeight="1">
      <c r="A25" s="105"/>
      <c r="B25" s="107"/>
      <c r="C25" s="142"/>
      <c r="D25" s="107"/>
      <c r="E25" s="107"/>
      <c r="F25" s="314"/>
      <c r="G25" s="107"/>
      <c r="H25" s="308"/>
      <c r="I25" s="308"/>
      <c r="J25" s="308"/>
      <c r="K25" s="107"/>
      <c r="L25" s="308"/>
      <c r="M25" s="105"/>
      <c r="N25" s="107"/>
    </row>
    <row r="26">
      <c r="A26" s="105"/>
      <c r="B26" s="107"/>
      <c r="C26" s="309" t="s">
        <v>605</v>
      </c>
      <c r="D26" s="310" t="s">
        <v>606</v>
      </c>
      <c r="E26" s="160"/>
      <c r="F26" s="197" t="s">
        <v>607</v>
      </c>
      <c r="G26" s="110"/>
      <c r="H26" s="311"/>
      <c r="I26" s="285"/>
      <c r="J26" s="154"/>
      <c r="K26" s="110"/>
      <c r="L26" s="317" t="s">
        <v>609</v>
      </c>
      <c r="M26" s="105"/>
      <c r="N26" s="107"/>
    </row>
    <row r="27" ht="15.75" customHeight="1">
      <c r="A27" s="105"/>
      <c r="B27" s="107"/>
      <c r="C27" s="142"/>
      <c r="D27" s="107"/>
      <c r="E27" s="107"/>
      <c r="F27" s="314"/>
      <c r="G27" s="107"/>
      <c r="H27" s="308"/>
      <c r="I27" s="308"/>
      <c r="J27" s="308"/>
      <c r="K27" s="107"/>
      <c r="L27" s="308"/>
      <c r="M27" s="105"/>
      <c r="N27" s="107"/>
    </row>
    <row r="28">
      <c r="A28" s="105"/>
      <c r="B28" s="107"/>
      <c r="C28" s="309" t="s">
        <v>610</v>
      </c>
      <c r="D28" s="310" t="s">
        <v>645</v>
      </c>
      <c r="E28" s="160"/>
      <c r="F28" s="197" t="s">
        <v>612</v>
      </c>
      <c r="G28" s="110"/>
      <c r="H28" s="322"/>
      <c r="I28" s="285"/>
      <c r="J28" s="154"/>
      <c r="K28" s="110"/>
      <c r="L28" s="312" t="s">
        <v>679</v>
      </c>
      <c r="M28" s="105"/>
      <c r="N28" s="107"/>
    </row>
    <row r="29" ht="15.75" customHeight="1">
      <c r="A29" s="105"/>
      <c r="B29" s="107"/>
      <c r="C29" s="142"/>
      <c r="D29" s="107"/>
      <c r="E29" s="107"/>
      <c r="F29" s="314"/>
      <c r="G29" s="107"/>
      <c r="H29" s="308"/>
      <c r="I29" s="308"/>
      <c r="J29" s="308"/>
      <c r="K29" s="107"/>
      <c r="L29" s="308"/>
      <c r="M29" s="105"/>
      <c r="N29" s="107"/>
    </row>
    <row r="30" ht="84.0" customHeight="1">
      <c r="A30" s="105"/>
      <c r="B30" s="107"/>
      <c r="C30" s="309" t="s">
        <v>615</v>
      </c>
      <c r="D30" s="310" t="s">
        <v>648</v>
      </c>
      <c r="E30" s="160"/>
      <c r="F30" s="202" t="s">
        <v>617</v>
      </c>
      <c r="G30" s="110"/>
      <c r="H30" s="323"/>
      <c r="J30" s="113"/>
      <c r="K30" s="110"/>
      <c r="L30" s="324" t="s">
        <v>680</v>
      </c>
      <c r="M30" s="105"/>
      <c r="N30" s="107"/>
    </row>
    <row r="31" ht="84.0" customHeight="1">
      <c r="A31" s="105"/>
      <c r="B31" s="107"/>
      <c r="C31" s="200"/>
      <c r="D31" s="200"/>
      <c r="E31" s="160"/>
      <c r="F31" s="154"/>
      <c r="G31" s="110"/>
      <c r="H31" s="285"/>
      <c r="I31" s="285"/>
      <c r="J31" s="154"/>
      <c r="K31" s="110"/>
      <c r="L31" s="154"/>
      <c r="M31" s="105"/>
      <c r="N31" s="107"/>
    </row>
    <row r="32" ht="15.75" customHeight="1">
      <c r="A32" s="105"/>
      <c r="B32" s="107"/>
      <c r="C32" s="142"/>
      <c r="D32" s="107"/>
      <c r="E32" s="107"/>
      <c r="F32" s="314"/>
      <c r="G32" s="107"/>
      <c r="H32" s="308"/>
      <c r="I32" s="308"/>
      <c r="J32" s="308"/>
      <c r="K32" s="107"/>
      <c r="L32" s="308"/>
      <c r="M32" s="105"/>
      <c r="N32" s="107"/>
    </row>
    <row r="33">
      <c r="A33" s="105"/>
      <c r="B33" s="107"/>
      <c r="C33" s="309" t="s">
        <v>620</v>
      </c>
      <c r="D33" s="310" t="s">
        <v>621</v>
      </c>
      <c r="E33" s="160"/>
      <c r="F33" s="197" t="s">
        <v>681</v>
      </c>
      <c r="G33" s="110"/>
      <c r="H33" s="322"/>
      <c r="I33" s="285"/>
      <c r="J33" s="154"/>
      <c r="K33" s="110"/>
      <c r="L33" s="312" t="s">
        <v>624</v>
      </c>
      <c r="M33" s="105"/>
      <c r="N33" s="107"/>
    </row>
    <row r="34" ht="22.5" customHeight="1">
      <c r="A34" s="105"/>
      <c r="B34" s="107"/>
      <c r="C34" s="142"/>
      <c r="D34" s="107"/>
      <c r="E34" s="107"/>
      <c r="F34" s="107"/>
      <c r="G34" s="107"/>
      <c r="H34" s="107"/>
      <c r="I34" s="107"/>
      <c r="J34" s="142"/>
      <c r="K34" s="142"/>
      <c r="L34" s="142"/>
      <c r="M34" s="105"/>
      <c r="N34" s="107"/>
    </row>
    <row r="35">
      <c r="A35" s="105"/>
      <c r="B35" s="150" t="s">
        <v>682</v>
      </c>
      <c r="M35" s="12"/>
      <c r="N35" s="107"/>
    </row>
    <row r="36" ht="8.25" customHeight="1">
      <c r="A36" s="105"/>
      <c r="B36" s="107"/>
      <c r="C36" s="142"/>
      <c r="D36" s="107"/>
      <c r="E36" s="107"/>
      <c r="F36" s="107"/>
      <c r="G36" s="107"/>
      <c r="H36" s="107"/>
      <c r="I36" s="107"/>
      <c r="J36" s="142"/>
      <c r="K36" s="142"/>
      <c r="L36" s="142"/>
      <c r="M36" s="105"/>
      <c r="N36" s="107"/>
    </row>
    <row r="37">
      <c r="A37" s="105"/>
      <c r="B37" s="107"/>
      <c r="C37" s="200"/>
      <c r="D37" s="190" t="s">
        <v>626</v>
      </c>
      <c r="E37" s="251"/>
      <c r="F37" s="251"/>
      <c r="G37" s="107"/>
      <c r="H37" s="191" t="s">
        <v>683</v>
      </c>
      <c r="I37" s="107"/>
      <c r="J37" s="342" t="s">
        <v>628</v>
      </c>
      <c r="K37" s="135"/>
      <c r="L37" s="191" t="s">
        <v>264</v>
      </c>
      <c r="M37" s="105"/>
      <c r="N37" s="107"/>
    </row>
    <row r="38" ht="48.0" customHeight="1">
      <c r="A38" s="105"/>
      <c r="B38" s="107"/>
      <c r="C38" s="318"/>
      <c r="D38" s="319" t="str">
        <f>concatenate(H11," ",H13,if(isblank(H15),"",char(10)&amp;char(10)&amp;H15),if(isblank(H17),"",char(10)&amp;char(10)&amp;H17),if(isblank(H20),"",char(10)&amp;char(10)&amp;H20),if(isblank(H24),"",char(10)&amp;char(10)&amp;H24),if(isblank(H26),"",char(10)&amp;char(10)&amp;H26),if(isblank(H28),"",char(10)&amp;char(10)&amp;H28),if(isblank(H30),"",char(10)&amp;char(10)&amp;H30),if(isblank(H33),"",char(10)&amp;H33))</f>
        <v>User: </v>
      </c>
      <c r="F38" s="249"/>
      <c r="G38" s="196" t="s">
        <v>365</v>
      </c>
      <c r="H38" s="202" t="s">
        <v>684</v>
      </c>
      <c r="I38" s="198" t="s">
        <v>367</v>
      </c>
      <c r="J38" s="204" t="str">
        <f>substitute(D38,"{{CODE}}",H38)</f>
        <v>User: </v>
      </c>
      <c r="K38" s="199" t="s">
        <v>266</v>
      </c>
      <c r="L38" s="159" t="str">
        <f>claudeMessages(J38, 'Tutorial How-To'!$E$37,"temperature",0)</f>
        <v>#ERROR!</v>
      </c>
      <c r="M38" s="105"/>
      <c r="N38" s="107"/>
    </row>
    <row r="39" ht="48.0" customHeight="1">
      <c r="A39" s="105"/>
      <c r="B39" s="107"/>
      <c r="C39" s="318"/>
      <c r="F39" s="249"/>
      <c r="G39" s="113"/>
      <c r="H39" s="113"/>
      <c r="I39" s="113"/>
      <c r="J39" s="113"/>
      <c r="K39" s="113"/>
      <c r="L39" s="94"/>
      <c r="M39" s="105"/>
      <c r="N39" s="107"/>
    </row>
    <row r="40" ht="48.0" customHeight="1">
      <c r="A40" s="105"/>
      <c r="B40" s="107"/>
      <c r="C40" s="318"/>
      <c r="F40" s="249"/>
      <c r="G40" s="113"/>
      <c r="H40" s="113"/>
      <c r="I40" s="113"/>
      <c r="J40" s="113"/>
      <c r="K40" s="113"/>
      <c r="L40" s="94"/>
      <c r="M40" s="105"/>
      <c r="N40" s="107"/>
    </row>
    <row r="41" ht="48.0" customHeight="1">
      <c r="A41" s="105"/>
      <c r="B41" s="107"/>
      <c r="C41" s="318"/>
      <c r="F41" s="249"/>
      <c r="G41" s="113"/>
      <c r="H41" s="113"/>
      <c r="I41" s="113"/>
      <c r="J41" s="113"/>
      <c r="K41" s="113"/>
      <c r="L41" s="94"/>
      <c r="M41" s="105"/>
      <c r="N41" s="107"/>
    </row>
    <row r="42" ht="48.0" customHeight="1">
      <c r="A42" s="105"/>
      <c r="B42" s="107"/>
      <c r="C42" s="318"/>
      <c r="F42" s="249"/>
      <c r="G42" s="113"/>
      <c r="H42" s="113"/>
      <c r="I42" s="113"/>
      <c r="J42" s="113"/>
      <c r="K42" s="113"/>
      <c r="L42" s="94"/>
      <c r="M42" s="105"/>
      <c r="N42" s="107"/>
    </row>
    <row r="43" ht="48.0" customHeight="1">
      <c r="A43" s="105"/>
      <c r="B43" s="107"/>
      <c r="C43" s="318"/>
      <c r="F43" s="249"/>
      <c r="G43" s="113"/>
      <c r="H43" s="113"/>
      <c r="I43" s="113"/>
      <c r="J43" s="113"/>
      <c r="K43" s="113"/>
      <c r="L43" s="94"/>
      <c r="M43" s="105"/>
      <c r="N43" s="107"/>
    </row>
    <row r="44" ht="48.0" customHeight="1">
      <c r="A44" s="105"/>
      <c r="B44" s="107"/>
      <c r="C44" s="318"/>
      <c r="D44" s="251"/>
      <c r="E44" s="251"/>
      <c r="F44" s="252"/>
      <c r="G44" s="113"/>
      <c r="H44" s="154"/>
      <c r="I44" s="113"/>
      <c r="J44" s="154"/>
      <c r="K44" s="113"/>
      <c r="L44" s="95"/>
      <c r="M44" s="105"/>
      <c r="N44" s="107"/>
    </row>
    <row r="45" ht="15.75" customHeight="1">
      <c r="A45" s="105"/>
      <c r="B45" s="138"/>
      <c r="C45" s="189"/>
      <c r="D45" s="138"/>
      <c r="E45" s="138"/>
      <c r="F45" s="138"/>
      <c r="G45" s="138"/>
      <c r="H45" s="138"/>
      <c r="I45" s="138"/>
      <c r="J45" s="189"/>
      <c r="K45" s="189"/>
      <c r="L45" s="189"/>
      <c r="M45" s="172"/>
      <c r="N45" s="107"/>
    </row>
    <row r="46">
      <c r="A46" s="107"/>
      <c r="B46" s="107"/>
      <c r="C46" s="142"/>
      <c r="D46" s="107"/>
      <c r="E46" s="107"/>
      <c r="F46" s="107"/>
      <c r="G46" s="107"/>
      <c r="H46" s="107"/>
      <c r="I46" s="107"/>
      <c r="J46" s="142"/>
      <c r="K46" s="142"/>
      <c r="L46" s="142"/>
      <c r="M46" s="107"/>
      <c r="N46" s="107"/>
    </row>
    <row r="47">
      <c r="A47" s="107"/>
      <c r="B47" s="209" t="s">
        <v>685</v>
      </c>
      <c r="G47" s="107"/>
      <c r="H47" s="107"/>
      <c r="I47" s="163" t="s">
        <v>686</v>
      </c>
      <c r="N47" s="107"/>
    </row>
    <row r="48" ht="8.25" customHeight="1">
      <c r="A48" s="107"/>
      <c r="B48" s="107"/>
      <c r="C48" s="107"/>
      <c r="D48" s="107"/>
      <c r="E48" s="107"/>
      <c r="F48" s="107"/>
      <c r="G48" s="107"/>
      <c r="H48" s="107"/>
      <c r="I48" s="107"/>
      <c r="J48" s="107"/>
      <c r="K48" s="107"/>
      <c r="L48" s="107"/>
      <c r="M48" s="107"/>
      <c r="N48" s="107"/>
    </row>
    <row r="49">
      <c r="A49" s="107"/>
      <c r="B49" s="210" t="s">
        <v>253</v>
      </c>
      <c r="N49" s="107"/>
    </row>
    <row r="50">
      <c r="A50" s="107"/>
      <c r="B50" s="210" t="s">
        <v>286</v>
      </c>
      <c r="N50" s="107"/>
    </row>
    <row r="51">
      <c r="A51" s="107"/>
      <c r="B51" s="107"/>
      <c r="C51" s="142"/>
      <c r="D51" s="107"/>
      <c r="E51" s="107"/>
      <c r="F51" s="107"/>
      <c r="G51" s="107"/>
      <c r="H51" s="107"/>
      <c r="I51" s="107"/>
      <c r="J51" s="142"/>
      <c r="K51" s="142"/>
      <c r="L51" s="142"/>
      <c r="M51" s="107"/>
      <c r="N51" s="107"/>
    </row>
    <row r="52">
      <c r="A52" s="107"/>
      <c r="B52" s="107"/>
      <c r="C52" s="142"/>
      <c r="D52" s="107"/>
      <c r="E52" s="107"/>
      <c r="F52" s="107"/>
      <c r="G52" s="107"/>
      <c r="H52" s="107"/>
      <c r="I52" s="107"/>
      <c r="J52" s="142"/>
      <c r="K52" s="142"/>
      <c r="L52" s="142"/>
      <c r="M52" s="107"/>
      <c r="N52" s="107"/>
    </row>
    <row r="53">
      <c r="A53" s="107"/>
      <c r="B53" s="107"/>
      <c r="C53" s="142"/>
      <c r="D53" s="107"/>
      <c r="E53" s="107"/>
      <c r="F53" s="107"/>
      <c r="G53" s="107"/>
      <c r="H53" s="107"/>
      <c r="I53" s="107"/>
      <c r="J53" s="142"/>
      <c r="K53" s="142"/>
      <c r="L53" s="142"/>
      <c r="M53" s="107"/>
      <c r="N53" s="107"/>
    </row>
    <row r="54">
      <c r="A54" s="107"/>
      <c r="B54" s="107"/>
      <c r="C54" s="142"/>
      <c r="D54" s="107"/>
      <c r="E54" s="107"/>
      <c r="F54" s="107"/>
      <c r="G54" s="107"/>
      <c r="H54" s="107"/>
      <c r="I54" s="107"/>
      <c r="J54" s="142"/>
      <c r="K54" s="142"/>
      <c r="L54" s="142"/>
      <c r="M54" s="107"/>
      <c r="N54" s="107"/>
    </row>
  </sheetData>
  <mergeCells count="34">
    <mergeCell ref="B1:J1"/>
    <mergeCell ref="C4:D4"/>
    <mergeCell ref="B6:F6"/>
    <mergeCell ref="L6:M6"/>
    <mergeCell ref="B7:M7"/>
    <mergeCell ref="H11:J11"/>
    <mergeCell ref="H13:J13"/>
    <mergeCell ref="H15:J15"/>
    <mergeCell ref="F17:F18"/>
    <mergeCell ref="H17:J18"/>
    <mergeCell ref="L17:L18"/>
    <mergeCell ref="F20:F22"/>
    <mergeCell ref="H20:J22"/>
    <mergeCell ref="L20:L22"/>
    <mergeCell ref="H24:J24"/>
    <mergeCell ref="H26:J26"/>
    <mergeCell ref="H28:J28"/>
    <mergeCell ref="H30:J31"/>
    <mergeCell ref="L30:L31"/>
    <mergeCell ref="H33:J33"/>
    <mergeCell ref="B35:M35"/>
    <mergeCell ref="K38:K44"/>
    <mergeCell ref="L38:L44"/>
    <mergeCell ref="I47:M47"/>
    <mergeCell ref="B47:F47"/>
    <mergeCell ref="B49:M49"/>
    <mergeCell ref="B50:M50"/>
    <mergeCell ref="F30:F31"/>
    <mergeCell ref="D37:F37"/>
    <mergeCell ref="D38:F44"/>
    <mergeCell ref="G38:G44"/>
    <mergeCell ref="H38:H44"/>
    <mergeCell ref="I38:I44"/>
    <mergeCell ref="J38:J44"/>
  </mergeCells>
  <conditionalFormatting sqref="L38:L44">
    <cfRule type="containsText" dxfId="0" priority="1" operator="containsText" text="ZeroDivision">
      <formula>NOT(ISERROR(SEARCH(("ZeroDivision"),(L38))))</formula>
    </cfRule>
  </conditionalFormatting>
  <hyperlinks>
    <hyperlink display="Exercise 9.2 - Codebot" location="C9CodingExercise" ref="C4"/>
    <hyperlink display="Back to top ↑" location="C9CodingTitle" ref="L6"/>
    <hyperlink display="← Chapter 9: Complex Prompts for Financial Services" location="C9FinancialTitle" ref="B47"/>
    <hyperlink display="Chapter 9: Congratulations &amp; Next Steps →" location="C9CongratsTitle" ref="I47"/>
    <hyperlink display="Back to top ↑" location="C9CodingTitle" ref="B49"/>
    <hyperlink display="Table of Contents" location="IntroTitle" ref="B50"/>
  </hyperlink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showGridLines="0" workbookViewId="0"/>
  </sheetViews>
  <sheetFormatPr customHeight="1" defaultColWidth="12.63" defaultRowHeight="15.75"/>
  <cols>
    <col customWidth="1" min="1" max="1" width="5.5"/>
    <col customWidth="1" min="2" max="2" width="3.0"/>
    <col customWidth="1" min="3" max="3" width="50.5"/>
    <col customWidth="1" min="4" max="4" width="4.0"/>
    <col customWidth="1" min="5" max="5" width="22.5"/>
    <col customWidth="1" min="6" max="6" width="31.88"/>
    <col customWidth="1" min="7" max="7" width="3.0"/>
    <col customWidth="1" min="8" max="9" width="5.5"/>
  </cols>
  <sheetData>
    <row r="1" ht="32.25" customHeight="1">
      <c r="A1" s="1"/>
      <c r="B1" s="2" t="s">
        <v>687</v>
      </c>
      <c r="F1" s="2"/>
      <c r="G1" s="3"/>
      <c r="H1" s="3"/>
      <c r="I1" s="3"/>
    </row>
    <row r="2" ht="21.75" customHeight="1"/>
    <row r="3" ht="21.75" customHeight="1">
      <c r="A3" s="23"/>
      <c r="B3" s="68" t="s">
        <v>249</v>
      </c>
    </row>
    <row r="4" ht="15.75" customHeight="1">
      <c r="A4" s="23"/>
      <c r="C4" s="69" t="s">
        <v>688</v>
      </c>
    </row>
    <row r="5" ht="33.75" customHeight="1"/>
    <row r="6" ht="29.25" customHeight="1">
      <c r="A6" s="70"/>
      <c r="B6" s="71" t="s">
        <v>689</v>
      </c>
      <c r="C6" s="72"/>
      <c r="D6" s="72"/>
      <c r="E6" s="72"/>
      <c r="F6" s="73" t="s">
        <v>253</v>
      </c>
      <c r="G6" s="74"/>
      <c r="H6" s="70"/>
      <c r="I6" s="70"/>
    </row>
    <row r="7">
      <c r="B7" s="79" t="s">
        <v>690</v>
      </c>
      <c r="G7" s="12"/>
    </row>
    <row r="8">
      <c r="B8" s="343"/>
      <c r="C8" s="344"/>
      <c r="D8" s="344"/>
      <c r="E8" s="344"/>
      <c r="F8" s="344"/>
      <c r="G8" s="345"/>
    </row>
    <row r="9" ht="18.75" customHeight="1">
      <c r="A9" s="34"/>
      <c r="B9" s="346" t="s">
        <v>691</v>
      </c>
      <c r="G9" s="12"/>
      <c r="H9" s="34"/>
      <c r="I9" s="34"/>
    </row>
    <row r="10">
      <c r="B10" s="347" t="s">
        <v>692</v>
      </c>
      <c r="C10" s="348" t="s">
        <v>693</v>
      </c>
      <c r="G10" s="12"/>
    </row>
    <row r="11">
      <c r="B11" s="347" t="s">
        <v>692</v>
      </c>
      <c r="C11" s="349" t="s">
        <v>694</v>
      </c>
      <c r="G11" s="12"/>
    </row>
    <row r="12">
      <c r="A12" s="107"/>
      <c r="B12" s="347" t="s">
        <v>692</v>
      </c>
      <c r="C12" s="349" t="s">
        <v>695</v>
      </c>
      <c r="G12" s="12"/>
      <c r="H12" s="107"/>
      <c r="I12" s="107"/>
    </row>
    <row r="13">
      <c r="A13" s="107"/>
      <c r="B13" s="347" t="s">
        <v>692</v>
      </c>
      <c r="C13" s="349" t="s">
        <v>696</v>
      </c>
      <c r="G13" s="12"/>
      <c r="H13" s="107"/>
      <c r="I13" s="107"/>
    </row>
    <row r="14">
      <c r="A14" s="105"/>
      <c r="B14" s="350" t="s">
        <v>692</v>
      </c>
      <c r="C14" s="351" t="s">
        <v>697</v>
      </c>
      <c r="G14" s="12"/>
      <c r="H14" s="107"/>
      <c r="I14" s="107"/>
    </row>
    <row r="15">
      <c r="A15" s="105"/>
      <c r="B15" s="350" t="s">
        <v>692</v>
      </c>
      <c r="C15" s="351" t="s">
        <v>698</v>
      </c>
      <c r="G15" s="12"/>
      <c r="H15" s="107"/>
      <c r="I15" s="107"/>
    </row>
    <row r="16">
      <c r="A16" s="105"/>
      <c r="B16" s="350" t="s">
        <v>692</v>
      </c>
      <c r="C16" s="351" t="s">
        <v>699</v>
      </c>
      <c r="G16" s="12"/>
      <c r="H16" s="107"/>
      <c r="I16" s="107"/>
    </row>
    <row r="17">
      <c r="B17" s="347" t="s">
        <v>692</v>
      </c>
      <c r="C17" s="126" t="s">
        <v>700</v>
      </c>
      <c r="G17" s="12"/>
    </row>
    <row r="18">
      <c r="B18" s="343"/>
      <c r="C18" s="344"/>
      <c r="D18" s="344"/>
      <c r="E18" s="344"/>
      <c r="F18" s="344"/>
      <c r="G18" s="345"/>
    </row>
    <row r="19" ht="15.75" customHeight="1">
      <c r="A19" s="34"/>
      <c r="B19" s="346" t="s">
        <v>701</v>
      </c>
      <c r="G19" s="12"/>
      <c r="H19" s="34"/>
      <c r="I19" s="34"/>
    </row>
    <row r="20" ht="8.25" customHeight="1">
      <c r="B20" s="25"/>
      <c r="G20" s="24"/>
    </row>
    <row r="21" ht="15.75" customHeight="1">
      <c r="B21" s="25"/>
      <c r="C21" s="26" t="s">
        <v>263</v>
      </c>
      <c r="E21" s="26" t="s">
        <v>264</v>
      </c>
      <c r="F21" s="26"/>
      <c r="G21" s="24"/>
    </row>
    <row r="22" ht="63.0" customHeight="1">
      <c r="B22" s="25"/>
      <c r="C22" s="92" t="s">
        <v>702</v>
      </c>
      <c r="D22" s="352" t="s">
        <v>266</v>
      </c>
      <c r="E22" s="353" t="str">
        <f>claudeMessages(C22, 'Tutorial How-To'!$E$37,"temperature",0)</f>
        <v>Here is an ode to a fabulous student who has just completed a course on prompt engineering, in the form of a sonnet:
O student, whose mind shines bright and keen,
Mastering the art of prompt engineering,
Thy skills have reached a level unseen,
Transforming language with precision's bearing.
Thy words, like magic, weave a tapestry,
Crafting prompts that unlock the mind's true might,
Guiding AI to soar with clarity,
Revealing insights that shine with brilliant light.
Thy dedication, a beacon in the night,
Has forged a path where others dare to tread,
Unlocking secrets, casting away the plight,
Leaving a legacy that shall forever be read.
O fabulous student, thy triumph we behold,
A sonnet to thy prowess, a tale to be told.</v>
      </c>
      <c r="F22" s="283"/>
      <c r="G22" s="24"/>
    </row>
    <row r="23" ht="63.0" customHeight="1">
      <c r="B23" s="25"/>
      <c r="C23" s="94"/>
      <c r="D23" s="352"/>
      <c r="E23" s="354"/>
      <c r="F23" s="113"/>
      <c r="G23" s="24"/>
    </row>
    <row r="24" ht="63.0" customHeight="1">
      <c r="B24" s="25"/>
      <c r="C24" s="94"/>
      <c r="D24" s="352"/>
      <c r="E24" s="354"/>
      <c r="F24" s="113"/>
      <c r="G24" s="24"/>
    </row>
    <row r="25" ht="63.0" customHeight="1">
      <c r="B25" s="25"/>
      <c r="C25" s="95"/>
      <c r="D25" s="352"/>
      <c r="E25" s="284"/>
      <c r="F25" s="154"/>
      <c r="G25" s="24"/>
    </row>
    <row r="26" ht="15.75" customHeight="1">
      <c r="B26" s="118"/>
      <c r="C26" s="64"/>
      <c r="D26" s="64"/>
      <c r="E26" s="64"/>
      <c r="F26" s="64"/>
      <c r="G26" s="65"/>
    </row>
    <row r="27" ht="8.25" customHeight="1"/>
    <row r="28">
      <c r="B28" s="119" t="s">
        <v>703</v>
      </c>
      <c r="E28" s="42" t="s">
        <v>704</v>
      </c>
    </row>
    <row r="29" ht="8.25" customHeight="1"/>
    <row r="30">
      <c r="B30" s="121" t="s">
        <v>253</v>
      </c>
    </row>
    <row r="31">
      <c r="B31" s="121" t="s">
        <v>286</v>
      </c>
    </row>
  </sheetData>
  <mergeCells count="21">
    <mergeCell ref="B1:E1"/>
    <mergeCell ref="B3:C3"/>
    <mergeCell ref="B6:E6"/>
    <mergeCell ref="F6:G6"/>
    <mergeCell ref="B7:G7"/>
    <mergeCell ref="B9:G9"/>
    <mergeCell ref="C10:G10"/>
    <mergeCell ref="B19:G19"/>
    <mergeCell ref="C22:C25"/>
    <mergeCell ref="E22:F25"/>
    <mergeCell ref="B28:D28"/>
    <mergeCell ref="E28:G28"/>
    <mergeCell ref="B30:G30"/>
    <mergeCell ref="B31:G31"/>
    <mergeCell ref="C11:G11"/>
    <mergeCell ref="C12:G12"/>
    <mergeCell ref="C13:G13"/>
    <mergeCell ref="C14:G14"/>
    <mergeCell ref="C15:G15"/>
    <mergeCell ref="C16:G16"/>
    <mergeCell ref="C17:G17"/>
  </mergeCells>
  <hyperlinks>
    <hyperlink display="Congratulations!" location="C9Congrats" ref="C4"/>
    <hyperlink display="Back to top ↑" location="C9CongratsTitle" ref="F6"/>
    <hyperlink r:id="rId1" ref="C10"/>
    <hyperlink r:id="rId2" ref="C11"/>
    <hyperlink r:id="rId3" ref="C12"/>
    <hyperlink r:id="rId4" ref="C13"/>
    <hyperlink r:id="rId5" ref="C14"/>
    <hyperlink r:id="rId6" ref="C15"/>
    <hyperlink r:id="rId7" ref="C16"/>
    <hyperlink display="← Chapter 9 Exercises: Prompts for Financial Services" location="'9 - Complex Prompts for Financi'!B1:E1" ref="B28"/>
    <hyperlink display="Appendix: Chaining Prompts →" location="AppChainingTitle" ref="E28"/>
    <hyperlink display="Back to top ↑" location="C9CongratsTitle" ref="B30"/>
    <hyperlink display="Table of Contents" location="IntroTitle" ref="B31"/>
  </hyperlinks>
  <drawing r:id="rId8"/>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showGridLines="0" workbookViewId="0"/>
  </sheetViews>
  <sheetFormatPr customHeight="1" defaultColWidth="12.63" defaultRowHeight="15.75"/>
  <cols>
    <col customWidth="1" min="1" max="1" width="5.5"/>
    <col customWidth="1" min="2" max="2" width="3.0"/>
    <col customWidth="1" min="3" max="3" width="32.75"/>
    <col customWidth="1" min="4" max="4" width="4.0"/>
    <col customWidth="1" min="5" max="5" width="39.38"/>
    <col customWidth="1" min="6" max="6" width="4.0"/>
    <col customWidth="1" min="7" max="7" width="33.63"/>
    <col customWidth="1" min="8" max="8" width="4.0"/>
    <col customWidth="1" min="9" max="9" width="41.0"/>
    <col customWidth="1" min="10" max="10" width="3.0"/>
    <col customWidth="1" min="11" max="11" width="5.5"/>
  </cols>
  <sheetData>
    <row r="1" ht="32.25" customHeight="1">
      <c r="A1" s="1"/>
      <c r="B1" s="2" t="s">
        <v>705</v>
      </c>
      <c r="H1" s="232"/>
      <c r="I1" s="211"/>
      <c r="J1" s="3"/>
      <c r="K1" s="3"/>
    </row>
    <row r="2" ht="21.75" customHeight="1">
      <c r="D2" s="34"/>
      <c r="F2" s="34"/>
      <c r="G2" s="96"/>
      <c r="H2" s="34"/>
      <c r="I2" s="70"/>
    </row>
    <row r="3" ht="21.75" customHeight="1">
      <c r="A3" s="23"/>
      <c r="B3" s="68" t="s">
        <v>249</v>
      </c>
      <c r="D3" s="34"/>
      <c r="F3" s="34"/>
      <c r="G3" s="23"/>
      <c r="H3" s="212"/>
    </row>
    <row r="4" ht="15.75" customHeight="1">
      <c r="A4" s="23"/>
      <c r="C4" s="69" t="s">
        <v>226</v>
      </c>
      <c r="D4" s="34"/>
      <c r="F4" s="34"/>
      <c r="G4" s="23"/>
      <c r="H4" s="34"/>
      <c r="I4" s="213"/>
    </row>
    <row r="5" ht="15.75" customHeight="1">
      <c r="A5" s="23"/>
      <c r="C5" s="69" t="s">
        <v>250</v>
      </c>
      <c r="D5" s="34"/>
      <c r="F5" s="34"/>
      <c r="G5" s="23"/>
      <c r="H5" s="34"/>
      <c r="I5" s="213"/>
    </row>
    <row r="6" ht="15.75" customHeight="1">
      <c r="A6" s="23" t="s">
        <v>251</v>
      </c>
      <c r="C6" s="69" t="s">
        <v>252</v>
      </c>
      <c r="D6" s="34"/>
      <c r="F6" s="34"/>
      <c r="G6" s="23" t="s">
        <v>251</v>
      </c>
      <c r="H6" s="34"/>
      <c r="I6" s="213"/>
    </row>
    <row r="7" ht="33.75" customHeight="1">
      <c r="D7" s="34"/>
      <c r="F7" s="34"/>
      <c r="H7" s="34"/>
    </row>
    <row r="8" ht="29.25" customHeight="1">
      <c r="A8" s="70"/>
      <c r="B8" s="71" t="s">
        <v>226</v>
      </c>
      <c r="C8" s="72"/>
      <c r="D8" s="72"/>
      <c r="E8" s="72"/>
      <c r="F8" s="214"/>
      <c r="G8" s="233"/>
      <c r="H8" s="214"/>
      <c r="I8" s="73" t="s">
        <v>253</v>
      </c>
      <c r="J8" s="74"/>
      <c r="K8" s="70"/>
    </row>
    <row r="9">
      <c r="B9" s="355" t="s">
        <v>706</v>
      </c>
      <c r="C9" s="48"/>
      <c r="D9" s="48"/>
      <c r="E9" s="48"/>
      <c r="F9" s="48"/>
      <c r="G9" s="48"/>
      <c r="H9" s="48"/>
      <c r="I9" s="48"/>
      <c r="J9" s="49"/>
    </row>
    <row r="10" ht="33.75" customHeight="1">
      <c r="D10" s="34"/>
      <c r="F10" s="34"/>
      <c r="G10" s="96"/>
      <c r="H10" s="34"/>
      <c r="I10" s="70"/>
    </row>
    <row r="11" ht="29.25" customHeight="1">
      <c r="B11" s="71" t="s">
        <v>250</v>
      </c>
      <c r="C11" s="72"/>
      <c r="D11" s="72"/>
      <c r="E11" s="72"/>
      <c r="F11" s="214"/>
      <c r="G11" s="215"/>
      <c r="H11" s="214"/>
      <c r="I11" s="73" t="s">
        <v>253</v>
      </c>
      <c r="J11" s="74"/>
    </row>
    <row r="12">
      <c r="B12" s="88" t="s">
        <v>707</v>
      </c>
      <c r="J12" s="12"/>
    </row>
    <row r="13" ht="8.25" customHeight="1">
      <c r="B13" s="22"/>
      <c r="D13" s="34"/>
      <c r="F13" s="34"/>
      <c r="G13" s="96"/>
      <c r="H13" s="34"/>
      <c r="I13" s="70"/>
      <c r="J13" s="24"/>
    </row>
    <row r="14">
      <c r="A14" s="216"/>
      <c r="B14" s="217"/>
      <c r="C14" s="218" t="s">
        <v>263</v>
      </c>
      <c r="D14" s="219"/>
      <c r="E14" s="218"/>
      <c r="F14" s="219"/>
      <c r="G14" s="220" t="s">
        <v>708</v>
      </c>
      <c r="H14" s="219"/>
      <c r="I14" s="221"/>
      <c r="J14" s="222"/>
      <c r="K14" s="216"/>
    </row>
    <row r="15" ht="74.25" customHeight="1">
      <c r="B15" s="25"/>
      <c r="C15" s="281" t="s">
        <v>709</v>
      </c>
      <c r="D15" s="282"/>
      <c r="E15" s="283"/>
      <c r="F15" s="90" t="s">
        <v>266</v>
      </c>
      <c r="G15" s="356" t="str">
        <f>claudeMessages(C15, 'Tutorial How-To'!$E$37,"temperature",0)</f>
        <v>Here are 10 words that end with the letters "ab":
1. Cab
2. Dab
3. Fab
4. Gab
5. Jab
6. Lab
7. Nab
8. Slab
9. Tab
10. Zab</v>
      </c>
      <c r="H15" s="282"/>
      <c r="I15" s="283"/>
      <c r="J15" s="24"/>
    </row>
    <row r="16" ht="74.25" customHeight="1">
      <c r="B16" s="25"/>
      <c r="C16" s="354"/>
      <c r="E16" s="113"/>
      <c r="G16" s="354"/>
      <c r="I16" s="113"/>
      <c r="J16" s="24"/>
    </row>
    <row r="17" ht="74.25" customHeight="1">
      <c r="B17" s="25"/>
      <c r="C17" s="284"/>
      <c r="D17" s="285"/>
      <c r="E17" s="154"/>
      <c r="G17" s="284"/>
      <c r="H17" s="285"/>
      <c r="I17" s="154"/>
      <c r="J17" s="24"/>
    </row>
    <row r="18" ht="15.75" customHeight="1">
      <c r="B18" s="25"/>
      <c r="C18" s="227"/>
      <c r="D18" s="90"/>
      <c r="E18" s="228"/>
      <c r="F18" s="34"/>
      <c r="G18" s="228"/>
      <c r="H18" s="34"/>
      <c r="I18" s="228"/>
      <c r="J18" s="24"/>
    </row>
    <row r="19">
      <c r="B19" s="88" t="s">
        <v>710</v>
      </c>
      <c r="J19" s="12"/>
    </row>
    <row r="20" ht="8.25" customHeight="1">
      <c r="B20" s="25"/>
      <c r="D20" s="34"/>
      <c r="F20" s="34"/>
      <c r="G20" s="96"/>
      <c r="H20" s="34"/>
      <c r="I20" s="70"/>
      <c r="J20" s="24"/>
    </row>
    <row r="21">
      <c r="A21" s="216"/>
      <c r="B21" s="217"/>
      <c r="C21" s="218" t="s">
        <v>361</v>
      </c>
      <c r="D21" s="219"/>
      <c r="E21" s="220" t="s">
        <v>711</v>
      </c>
      <c r="F21" s="219"/>
      <c r="G21" s="220" t="s">
        <v>363</v>
      </c>
      <c r="H21" s="219"/>
      <c r="I21" s="357" t="s">
        <v>712</v>
      </c>
      <c r="J21" s="222"/>
      <c r="K21" s="216"/>
    </row>
    <row r="22" ht="66.75" customHeight="1">
      <c r="A22" s="105"/>
      <c r="B22" s="194"/>
      <c r="C22" s="358" t="s">
        <v>713</v>
      </c>
      <c r="D22" s="196" t="s">
        <v>365</v>
      </c>
      <c r="E22" s="359" t="str">
        <f>concatenate(C15,char(10),"Assistant: ",G15)</f>
        <v>User: Name ten words that all end with the exact letters "ab".
Assistant: Here are 10 words that end with the letters "ab":
1. Cab
2. Dab
3. Fab
4. Gab
5. Jab
6. Lab
7. Nab
8. Slab
9. Tab
10. Zab</v>
      </c>
      <c r="F22" s="198" t="s">
        <v>367</v>
      </c>
      <c r="G22" s="360" t="str">
        <f>substitute(C22,"{{CONVO_HISTORY}}",E22)</f>
        <v>User: Name ten words that all end with the exact letters "ab".
Assistant: Here are 10 words that end with the letters "ab":
1. Cab
2. Dab
3. Fab
4. Gab
5. Jab
6. Lab
7. Nab
8. Slab
9. Tab
10. Zab
User: Please find replacements for all "words" that are not real words.</v>
      </c>
      <c r="H22" s="199" t="s">
        <v>266</v>
      </c>
      <c r="I22" s="361" t="str">
        <f>claudeMessages(G22, 'Tutorial How-To'!$E$37,"temperature",0)</f>
        <v>Here are 10 real words that end with the letters "ab":
1. Cab
2. Dab
3. Fab
4. Grab
5. Jab
6. Lab
7. Nab
8. Slab
9. Tab
10. Crab</v>
      </c>
      <c r="J22" s="105"/>
      <c r="K22" s="107"/>
    </row>
    <row r="23" ht="66.75" customHeight="1">
      <c r="A23" s="105"/>
      <c r="B23" s="194"/>
      <c r="C23" s="249"/>
      <c r="D23" s="113"/>
      <c r="E23" s="113"/>
      <c r="F23" s="113"/>
      <c r="G23" s="113"/>
      <c r="H23" s="113"/>
      <c r="I23" s="113"/>
      <c r="J23" s="105"/>
      <c r="K23" s="107"/>
    </row>
    <row r="24" ht="66.75" customHeight="1">
      <c r="A24" s="105"/>
      <c r="B24" s="194"/>
      <c r="C24" s="249"/>
      <c r="D24" s="113"/>
      <c r="E24" s="113"/>
      <c r="F24" s="113"/>
      <c r="G24" s="113"/>
      <c r="H24" s="113"/>
      <c r="I24" s="113"/>
      <c r="J24" s="105"/>
      <c r="K24" s="107"/>
    </row>
    <row r="25" ht="34.5" customHeight="1">
      <c r="A25" s="105"/>
      <c r="B25" s="194"/>
      <c r="C25" s="252"/>
      <c r="D25" s="113"/>
      <c r="E25" s="154"/>
      <c r="F25" s="113"/>
      <c r="G25" s="154"/>
      <c r="H25" s="113"/>
      <c r="I25" s="154"/>
      <c r="J25" s="105"/>
      <c r="K25" s="107"/>
    </row>
    <row r="26" ht="15.75" customHeight="1">
      <c r="B26" s="25"/>
      <c r="C26" s="227"/>
      <c r="D26" s="90"/>
      <c r="E26" s="228"/>
      <c r="F26" s="34"/>
      <c r="G26" s="228"/>
      <c r="H26" s="34"/>
      <c r="I26" s="228"/>
      <c r="J26" s="24"/>
    </row>
    <row r="27">
      <c r="B27" s="88" t="s">
        <v>714</v>
      </c>
      <c r="J27" s="12"/>
    </row>
    <row r="28" ht="8.25" customHeight="1">
      <c r="B28" s="22"/>
      <c r="D28" s="34"/>
      <c r="F28" s="34"/>
      <c r="G28" s="96"/>
      <c r="H28" s="34"/>
      <c r="I28" s="70"/>
      <c r="J28" s="24"/>
    </row>
    <row r="29">
      <c r="A29" s="362"/>
      <c r="B29" s="363"/>
      <c r="C29" s="220" t="s">
        <v>361</v>
      </c>
      <c r="D29" s="364"/>
      <c r="E29" s="220" t="s">
        <v>715</v>
      </c>
      <c r="F29" s="364"/>
      <c r="G29" s="220" t="s">
        <v>363</v>
      </c>
      <c r="H29" s="364"/>
      <c r="I29" s="365" t="s">
        <v>712</v>
      </c>
      <c r="J29" s="366"/>
      <c r="K29" s="362"/>
    </row>
    <row r="30" ht="54.0" customHeight="1">
      <c r="A30" s="105"/>
      <c r="B30" s="194"/>
      <c r="C30" s="358" t="s">
        <v>713</v>
      </c>
      <c r="D30" s="196" t="s">
        <v>365</v>
      </c>
      <c r="E30" s="367" t="str">
        <f>concatenate(C15,char(10),"Assistant: ","1. Cab
2. Dab
3. Grab
4. Gab
5. Jab
6. Lab
7. Nab
8. Slab
9. Tab
10. Blab")</f>
        <v>User: Name ten words that all end with the exact letters "ab".
Assistant: 1. Cab
2. Dab
3. Grab
4. Gab
5. Jab
6. Lab
7. Nab
8. Slab
9. Tab
10. Blab</v>
      </c>
      <c r="F30" s="198" t="s">
        <v>367</v>
      </c>
      <c r="G30" s="263" t="str">
        <f>substitute(C30,"{{CONVO_HISTORY}}",E30)</f>
        <v>User: Name ten words that all end with the exact letters "ab".
Assistant: 1. Cab
2. Dab
3. Grab
4. Gab
5. Jab
6. Lab
7. Nab
8. Slab
9. Tab
10. Blab
User: Please find replacements for all "words" that are not real words.</v>
      </c>
      <c r="H30" s="199" t="s">
        <v>266</v>
      </c>
      <c r="I30" s="368" t="str">
        <f>claudeMessages(G30, 'Tutorial How-To'!$E$37,"temperature",0)</f>
        <v>Here are 10 real words that end with the letters "ab":
1. Cab
2. Dab
3. Grab
4. Gab
5. Jab
6. Lab
7. Nab
8. Slab
9. Tab
10. Blab</v>
      </c>
      <c r="J30" s="105"/>
      <c r="K30" s="107"/>
    </row>
    <row r="31" ht="54.0" customHeight="1">
      <c r="A31" s="105"/>
      <c r="B31" s="194"/>
      <c r="C31" s="249"/>
      <c r="D31" s="113"/>
      <c r="E31" s="113"/>
      <c r="F31" s="113"/>
      <c r="G31" s="113"/>
      <c r="H31" s="113"/>
      <c r="I31" s="113"/>
      <c r="J31" s="105"/>
      <c r="K31" s="107"/>
    </row>
    <row r="32" ht="54.0" customHeight="1">
      <c r="A32" s="105"/>
      <c r="B32" s="194"/>
      <c r="C32" s="249"/>
      <c r="D32" s="113"/>
      <c r="E32" s="113"/>
      <c r="F32" s="113"/>
      <c r="G32" s="113"/>
      <c r="H32" s="113"/>
      <c r="I32" s="113"/>
      <c r="J32" s="105"/>
      <c r="K32" s="107"/>
    </row>
    <row r="33" ht="54.0" customHeight="1">
      <c r="A33" s="105"/>
      <c r="B33" s="194"/>
      <c r="C33" s="252"/>
      <c r="D33" s="113"/>
      <c r="E33" s="154"/>
      <c r="F33" s="113"/>
      <c r="G33" s="154"/>
      <c r="H33" s="113"/>
      <c r="I33" s="154"/>
      <c r="J33" s="105"/>
      <c r="K33" s="107"/>
    </row>
    <row r="34" ht="15.75" customHeight="1">
      <c r="B34" s="25"/>
      <c r="D34" s="34"/>
      <c r="F34" s="34"/>
      <c r="G34" s="96"/>
      <c r="H34" s="34"/>
      <c r="I34" s="70"/>
      <c r="J34" s="24"/>
    </row>
    <row r="35">
      <c r="B35" s="88" t="s">
        <v>716</v>
      </c>
      <c r="J35" s="12"/>
    </row>
    <row r="36" ht="11.25" customHeight="1">
      <c r="B36" s="25"/>
      <c r="D36" s="34"/>
      <c r="F36" s="34"/>
      <c r="G36" s="96"/>
      <c r="H36" s="34"/>
      <c r="I36" s="70"/>
      <c r="J36" s="24"/>
    </row>
    <row r="37">
      <c r="B37" s="88" t="s">
        <v>717</v>
      </c>
      <c r="J37" s="12"/>
    </row>
    <row r="38" ht="8.25" customHeight="1">
      <c r="B38" s="22"/>
      <c r="D38" s="34"/>
      <c r="F38" s="34"/>
      <c r="G38" s="96"/>
      <c r="H38" s="34"/>
      <c r="I38" s="70"/>
      <c r="J38" s="24"/>
    </row>
    <row r="39">
      <c r="A39" s="105"/>
      <c r="B39" s="107"/>
      <c r="C39" s="191" t="s">
        <v>263</v>
      </c>
      <c r="D39" s="369"/>
      <c r="E39" s="170"/>
      <c r="F39" s="186"/>
      <c r="G39" s="192" t="s">
        <v>718</v>
      </c>
      <c r="H39" s="285"/>
      <c r="I39" s="285"/>
      <c r="J39" s="105"/>
      <c r="K39" s="107"/>
    </row>
    <row r="40" ht="49.5" customHeight="1">
      <c r="A40" s="105"/>
      <c r="B40" s="110"/>
      <c r="C40" s="323" t="s">
        <v>719</v>
      </c>
      <c r="E40" s="113"/>
      <c r="F40" s="199" t="s">
        <v>266</v>
      </c>
      <c r="G40" s="370" t="str">
        <f>claudeMessages(C40, 'Tutorial How-To'!$E$37,"temperature",0)</f>
        <v>Here is a three-sentence short story about a girl who likes to run:
Amelia loved the feeling of the wind rushing through her hair as she raced down the trail, her feet pounding against the soft earth. With each stride, she felt a sense of freedom and exhilaration that nothing else could match. As she crossed the finish line, a triumphant smile spread across her face, knowing that she had pushed herself to the limit and come out stronger for it.</v>
      </c>
      <c r="I40" s="113"/>
      <c r="J40" s="105"/>
      <c r="K40" s="107"/>
    </row>
    <row r="41" ht="49.5" customHeight="1">
      <c r="A41" s="105"/>
      <c r="B41" s="110"/>
      <c r="C41" s="285"/>
      <c r="D41" s="285"/>
      <c r="E41" s="154"/>
      <c r="F41" s="113"/>
      <c r="G41" s="285"/>
      <c r="H41" s="285"/>
      <c r="I41" s="154"/>
      <c r="J41" s="105"/>
      <c r="K41" s="107"/>
    </row>
    <row r="42" ht="8.25" customHeight="1">
      <c r="A42" s="105"/>
      <c r="B42" s="135"/>
      <c r="C42" s="107"/>
      <c r="D42" s="186"/>
      <c r="E42" s="107"/>
      <c r="F42" s="186"/>
      <c r="G42" s="107"/>
      <c r="H42" s="186"/>
      <c r="I42" s="142"/>
      <c r="J42" s="105"/>
      <c r="K42" s="107"/>
    </row>
    <row r="43">
      <c r="A43" s="105"/>
      <c r="B43" s="107"/>
      <c r="C43" s="190" t="s">
        <v>361</v>
      </c>
      <c r="D43" s="186"/>
      <c r="E43" s="191" t="s">
        <v>720</v>
      </c>
      <c r="F43" s="186"/>
      <c r="G43" s="192" t="s">
        <v>363</v>
      </c>
      <c r="H43" s="186"/>
      <c r="I43" s="193" t="s">
        <v>721</v>
      </c>
      <c r="J43" s="105"/>
      <c r="K43" s="107"/>
    </row>
    <row r="44" ht="66.75" customHeight="1">
      <c r="A44" s="105"/>
      <c r="B44" s="194"/>
      <c r="C44" s="371" t="s">
        <v>722</v>
      </c>
      <c r="D44" s="196" t="s">
        <v>365</v>
      </c>
      <c r="E44" s="372" t="str">
        <f>concatenate(C40,char(10),"Assistant: ",G40)</f>
        <v>User: Write a three-sentence short story about a girl who likes to run.
Assistant: Here is a three-sentence short story about a girl who likes to run:
Amelia loved the feeling of the wind rushing through her hair as she raced down the trail, her feet pounding against the soft earth. With each stride, she felt a sense of freedom and exhilaration that nothing else could match. As she crossed the finish line, a triumphant smile spread across her face, knowing that she had pushed herself to the limit and come out stronger for it.</v>
      </c>
      <c r="F44" s="198" t="s">
        <v>367</v>
      </c>
      <c r="G44" s="373" t="str">
        <f>substitute(C44,"{{PAST_STORY}}",E44)</f>
        <v>User: Write a three-sentence short story about a girl who likes to run.
Assistant: Here is a three-sentence short story about a girl who likes to run:
Amelia loved the feeling of the wind rushing through her hair as she raced down the trail, her feet pounding against the soft earth. With each stride, she felt a sense of freedom and exhilaration that nothing else could match. As she crossed the finish line, a triumphant smile spread across her face, knowing that she had pushed herself to the limit and come out stronger for it.
User: Make the story better.</v>
      </c>
      <c r="H44" s="199" t="s">
        <v>266</v>
      </c>
      <c r="I44" s="374" t="str">
        <f>claudeMessages(G44, 'Tutorial How-To'!$E$37,"temperature",0)</f>
        <v>Here is the three-sentence short story with some improvements:
Amelia's heart raced as she glided effortlessly down the winding trail, her legs carrying her with a grace and power that defied her petite frame. The rhythmic pounding of her feet against the packed dirt filled her with a sense of unbridled joy, each stride propelling her closer to the finish line where a surge of accomplishment awaited. As she crossed the line, Amelia raised her arms in triumph, her flushed cheeks and shining eyes reflecting the pure elation of a runner who had found her true calling.</v>
      </c>
      <c r="J44" s="105"/>
      <c r="K44" s="107"/>
    </row>
    <row r="45" ht="66.75" customHeight="1">
      <c r="A45" s="105"/>
      <c r="B45" s="194"/>
      <c r="C45" s="249"/>
      <c r="D45" s="113"/>
      <c r="E45" s="113"/>
      <c r="F45" s="113"/>
      <c r="G45" s="113"/>
      <c r="H45" s="113"/>
      <c r="I45" s="113"/>
      <c r="J45" s="105"/>
      <c r="K45" s="107"/>
    </row>
    <row r="46" ht="66.75" customHeight="1">
      <c r="A46" s="105"/>
      <c r="B46" s="194"/>
      <c r="C46" s="249"/>
      <c r="D46" s="113"/>
      <c r="E46" s="113"/>
      <c r="F46" s="113"/>
      <c r="G46" s="113"/>
      <c r="H46" s="113"/>
      <c r="I46" s="113"/>
      <c r="J46" s="105"/>
      <c r="K46" s="107"/>
    </row>
    <row r="47" ht="66.75" customHeight="1">
      <c r="A47" s="105"/>
      <c r="B47" s="194"/>
      <c r="C47" s="252"/>
      <c r="D47" s="113"/>
      <c r="E47" s="154"/>
      <c r="F47" s="113"/>
      <c r="G47" s="154"/>
      <c r="H47" s="113"/>
      <c r="I47" s="154"/>
      <c r="J47" s="105"/>
      <c r="K47" s="107"/>
    </row>
    <row r="48" ht="15.75" customHeight="1">
      <c r="B48" s="25"/>
      <c r="D48" s="34"/>
      <c r="F48" s="34"/>
      <c r="G48" s="96"/>
      <c r="H48" s="34"/>
      <c r="I48" s="70"/>
      <c r="J48" s="24"/>
    </row>
    <row r="49">
      <c r="B49" s="88" t="s">
        <v>723</v>
      </c>
      <c r="J49" s="12"/>
    </row>
    <row r="50" ht="8.25" customHeight="1">
      <c r="B50" s="22"/>
      <c r="D50" s="34"/>
      <c r="F50" s="34"/>
      <c r="G50" s="96"/>
      <c r="H50" s="34"/>
      <c r="I50" s="70"/>
      <c r="J50" s="24"/>
    </row>
    <row r="51">
      <c r="A51" s="105"/>
      <c r="B51" s="107"/>
      <c r="C51" s="191" t="s">
        <v>724</v>
      </c>
      <c r="D51" s="186"/>
      <c r="E51" s="191" t="s">
        <v>725</v>
      </c>
      <c r="F51" s="186"/>
      <c r="G51" s="375" t="s">
        <v>726</v>
      </c>
      <c r="H51" s="186"/>
      <c r="I51" s="200"/>
      <c r="J51" s="105"/>
      <c r="K51" s="107"/>
    </row>
    <row r="52" ht="94.5" customHeight="1">
      <c r="A52" s="105"/>
      <c r="B52" s="110"/>
      <c r="C52" s="204" t="s">
        <v>727</v>
      </c>
      <c r="D52" s="199" t="s">
        <v>266</v>
      </c>
      <c r="E52" s="159" t="str">
        <f>claudeMessages(C52, 'Tutorial How-To'!$E$37,"temperature",0)</f>
        <v>- Jesse
- Erin
- Joey
- Keisha
- Mel
&lt;/names&gt;</v>
      </c>
      <c r="F52" s="376" t="s">
        <v>365</v>
      </c>
      <c r="G52" s="377" t="s">
        <v>728</v>
      </c>
      <c r="H52" s="107"/>
      <c r="I52" s="200"/>
      <c r="J52" s="105"/>
      <c r="K52" s="107"/>
    </row>
    <row r="53" ht="15.75" customHeight="1">
      <c r="A53" s="105"/>
      <c r="B53" s="110"/>
      <c r="C53" s="113"/>
      <c r="D53" s="113"/>
      <c r="E53" s="94"/>
      <c r="F53" s="186"/>
      <c r="G53" s="378" t="s">
        <v>367</v>
      </c>
      <c r="H53" s="186"/>
      <c r="I53" s="200"/>
      <c r="J53" s="105"/>
      <c r="K53" s="107"/>
    </row>
    <row r="54" ht="15.75" customHeight="1">
      <c r="A54" s="105"/>
      <c r="B54" s="160"/>
      <c r="C54" s="113"/>
      <c r="D54" s="113"/>
      <c r="E54" s="94"/>
      <c r="F54" s="135"/>
      <c r="G54" s="192" t="s">
        <v>729</v>
      </c>
      <c r="H54" s="135"/>
      <c r="I54" s="193" t="s">
        <v>730</v>
      </c>
      <c r="J54" s="144"/>
      <c r="K54" s="107"/>
    </row>
    <row r="55" ht="83.25" customHeight="1">
      <c r="A55" s="105"/>
      <c r="B55" s="160"/>
      <c r="C55" s="113"/>
      <c r="D55" s="113"/>
      <c r="E55" s="94"/>
      <c r="F55" s="160"/>
      <c r="G55" s="379" t="str">
        <f>substitute(G52,"{{NAMES}}",E52)</f>
        <v>User: Here is a list of names: 
&lt;names&gt;- Jesse
- Erin
- Joey
- Keisha
- Mel
&lt;/names&gt;
Please alphabetize the list.</v>
      </c>
      <c r="H55" s="149" t="s">
        <v>266</v>
      </c>
      <c r="I55" s="380" t="str">
        <f>claudeMessages(G55, 'Tutorial How-To'!$E$37,"temperature",0)</f>
        <v>Here is the list of names alphabetized:
&lt;names&gt;
- Erin
- Jesse
- Joey
- Keisha
- Mel
&lt;/names&gt;</v>
      </c>
      <c r="J55" s="144"/>
      <c r="K55" s="107"/>
    </row>
    <row r="56" ht="83.25" customHeight="1">
      <c r="A56" s="105"/>
      <c r="B56" s="160"/>
      <c r="C56" s="154"/>
      <c r="D56" s="113"/>
      <c r="E56" s="95"/>
      <c r="F56" s="160"/>
      <c r="G56" s="95"/>
      <c r="H56" s="161"/>
      <c r="I56" s="94"/>
      <c r="J56" s="144"/>
      <c r="K56" s="107"/>
    </row>
    <row r="57" ht="15.75" customHeight="1">
      <c r="B57" s="118"/>
      <c r="C57" s="64"/>
      <c r="D57" s="64"/>
      <c r="E57" s="64"/>
      <c r="F57" s="64"/>
      <c r="G57" s="64"/>
      <c r="H57" s="381"/>
      <c r="I57" s="382"/>
      <c r="J57" s="383"/>
    </row>
    <row r="58" ht="33.75" customHeight="1">
      <c r="H58" s="34"/>
      <c r="I58" s="70"/>
    </row>
    <row r="59" ht="29.25" customHeight="1">
      <c r="B59" s="71" t="s">
        <v>252</v>
      </c>
      <c r="C59" s="72"/>
      <c r="D59" s="72"/>
      <c r="E59" s="72"/>
      <c r="F59" s="214"/>
      <c r="G59" s="215"/>
      <c r="H59" s="214"/>
      <c r="I59" s="73" t="s">
        <v>253</v>
      </c>
      <c r="J59" s="74"/>
    </row>
    <row r="60">
      <c r="B60" s="88" t="s">
        <v>731</v>
      </c>
      <c r="J60" s="12"/>
    </row>
    <row r="61" ht="8.25" customHeight="1">
      <c r="B61" s="22"/>
      <c r="D61" s="34"/>
      <c r="F61" s="34"/>
      <c r="G61" s="96"/>
      <c r="H61" s="34"/>
      <c r="I61" s="70"/>
      <c r="J61" s="24"/>
    </row>
    <row r="62">
      <c r="A62" s="216"/>
      <c r="B62" s="217"/>
      <c r="C62" s="218" t="s">
        <v>263</v>
      </c>
      <c r="D62" s="219"/>
      <c r="E62" s="218"/>
      <c r="F62" s="219"/>
      <c r="G62" s="220" t="s">
        <v>708</v>
      </c>
      <c r="H62" s="219"/>
      <c r="I62" s="221"/>
      <c r="J62" s="222"/>
      <c r="K62" s="216"/>
    </row>
    <row r="63" ht="74.25" customHeight="1">
      <c r="B63" s="25"/>
      <c r="C63" s="281" t="s">
        <v>709</v>
      </c>
      <c r="D63" s="282"/>
      <c r="E63" s="283"/>
      <c r="F63" s="90" t="s">
        <v>266</v>
      </c>
      <c r="G63" s="356" t="str">
        <f>claudeMessages(C63, 'Tutorial How-To'!$E$37,"temperature",0)</f>
        <v>Here are 10 words that end with the letters "ab":
1. Cab
2. Dab
3. Fab
4. Gab
5. Jab
6. Lab
7. Nab
8. Slab
9. Tab
10. Zab</v>
      </c>
      <c r="H63" s="282"/>
      <c r="I63" s="283"/>
      <c r="J63" s="24"/>
    </row>
    <row r="64" ht="74.25" customHeight="1">
      <c r="B64" s="25"/>
      <c r="C64" s="354"/>
      <c r="E64" s="113"/>
      <c r="G64" s="354"/>
      <c r="I64" s="113"/>
      <c r="J64" s="24"/>
    </row>
    <row r="65" ht="74.25" customHeight="1">
      <c r="B65" s="25"/>
      <c r="C65" s="284"/>
      <c r="D65" s="285"/>
      <c r="E65" s="154"/>
      <c r="G65" s="284"/>
      <c r="H65" s="285"/>
      <c r="I65" s="154"/>
      <c r="J65" s="24"/>
    </row>
    <row r="66" ht="8.25" customHeight="1">
      <c r="B66" s="25"/>
      <c r="D66" s="34"/>
      <c r="F66" s="34"/>
      <c r="G66" s="96"/>
      <c r="H66" s="34"/>
      <c r="I66" s="70"/>
      <c r="J66" s="24"/>
    </row>
    <row r="67">
      <c r="A67" s="105"/>
      <c r="B67" s="107"/>
      <c r="C67" s="190" t="s">
        <v>361</v>
      </c>
      <c r="D67" s="186"/>
      <c r="E67" s="192" t="s">
        <v>711</v>
      </c>
      <c r="F67" s="186"/>
      <c r="G67" s="192" t="s">
        <v>363</v>
      </c>
      <c r="H67" s="186"/>
      <c r="I67" s="191" t="s">
        <v>712</v>
      </c>
      <c r="J67" s="105"/>
      <c r="K67" s="107"/>
    </row>
    <row r="68" ht="66.75" customHeight="1">
      <c r="A68" s="105"/>
      <c r="B68" s="194"/>
      <c r="C68" s="371" t="s">
        <v>713</v>
      </c>
      <c r="D68" s="384" t="s">
        <v>365</v>
      </c>
      <c r="E68" s="372" t="str">
        <f>concatenate(C63,char(10),"Assistant: ",G63)</f>
        <v>User: Name ten words that all end with the exact letters "ab".
Assistant: Here are 10 words that end with the letters "ab":
1. Cab
2. Dab
3. Fab
4. Gab
5. Jab
6. Lab
7. Nab
8. Slab
9. Tab
10. Zab</v>
      </c>
      <c r="F68" s="385" t="s">
        <v>367</v>
      </c>
      <c r="G68" s="373" t="str">
        <f>substitute(C68,"{{CONVO_HISTORY}}",E68)</f>
        <v>User: Name ten words that all end with the exact letters "ab".
Assistant: Here are 10 words that end with the letters "ab":
1. Cab
2. Dab
3. Fab
4. Gab
5. Jab
6. Lab
7. Nab
8. Slab
9. Tab
10. Zab
User: Please find replacements for all "words" that are not real words.</v>
      </c>
      <c r="H68" s="149" t="s">
        <v>266</v>
      </c>
      <c r="I68" s="374" t="str">
        <f>claudeMessages(G68,'Tutorial How-To'!$E$37,"temperature",0)</f>
        <v>Here are 10 real words that end with the letters "ab":
1. Cab
2. Dab
3. Fab
4. Grab
5. Jab
6. Lab
7. Nab
8. Slab
9. Tab
10. Crab</v>
      </c>
      <c r="J68" s="105"/>
      <c r="K68" s="107"/>
    </row>
    <row r="69" ht="66.75" customHeight="1">
      <c r="A69" s="105"/>
      <c r="B69" s="194"/>
      <c r="C69" s="249"/>
      <c r="D69" s="113"/>
      <c r="E69" s="113"/>
      <c r="F69" s="113"/>
      <c r="G69" s="113"/>
      <c r="H69" s="113"/>
      <c r="I69" s="113"/>
      <c r="J69" s="105"/>
      <c r="K69" s="107"/>
    </row>
    <row r="70" ht="66.75" customHeight="1">
      <c r="A70" s="105"/>
      <c r="B70" s="194"/>
      <c r="C70" s="249"/>
      <c r="D70" s="113"/>
      <c r="E70" s="113"/>
      <c r="F70" s="113"/>
      <c r="G70" s="113"/>
      <c r="H70" s="113"/>
      <c r="I70" s="113"/>
      <c r="J70" s="105"/>
      <c r="K70" s="107"/>
    </row>
    <row r="71" ht="34.5" customHeight="1">
      <c r="A71" s="105"/>
      <c r="B71" s="194"/>
      <c r="C71" s="252"/>
      <c r="D71" s="113"/>
      <c r="E71" s="154"/>
      <c r="F71" s="113"/>
      <c r="G71" s="154"/>
      <c r="H71" s="113"/>
      <c r="I71" s="154"/>
      <c r="J71" s="105"/>
      <c r="K71" s="107"/>
    </row>
    <row r="72" ht="8.25" customHeight="1">
      <c r="A72" s="105"/>
      <c r="B72" s="107"/>
      <c r="C72" s="107"/>
      <c r="D72" s="186"/>
      <c r="E72" s="107"/>
      <c r="F72" s="186"/>
      <c r="G72" s="107"/>
      <c r="H72" s="186"/>
      <c r="I72" s="142"/>
      <c r="J72" s="105"/>
      <c r="K72" s="107"/>
    </row>
    <row r="73" ht="15.75" customHeight="1">
      <c r="A73" s="105"/>
      <c r="B73" s="107"/>
      <c r="C73" s="386" t="s">
        <v>361</v>
      </c>
      <c r="D73" s="186"/>
      <c r="E73" s="192" t="s">
        <v>715</v>
      </c>
      <c r="F73" s="186"/>
      <c r="G73" s="192" t="s">
        <v>363</v>
      </c>
      <c r="H73" s="186"/>
      <c r="I73" s="192" t="s">
        <v>712</v>
      </c>
      <c r="J73" s="105"/>
      <c r="K73" s="107"/>
    </row>
    <row r="74" ht="54.0" customHeight="1">
      <c r="A74" s="105"/>
      <c r="B74" s="194"/>
      <c r="C74" s="371" t="s">
        <v>713</v>
      </c>
      <c r="D74" s="384" t="s">
        <v>365</v>
      </c>
      <c r="E74" s="387" t="str">
        <f>concatenate(C63,char(10),"Assistant: ","1. Cab
2. Dab
3. Grab
4. Gab
5. Jab
6. Lab
7. Nab
8. Slab
9. Tab
10. Blab")</f>
        <v>User: Name ten words that all end with the exact letters "ab".
Assistant: 1. Cab
2. Dab
3. Grab
4. Gab
5. Jab
6. Lab
7. Nab
8. Slab
9. Tab
10. Blab</v>
      </c>
      <c r="F74" s="385" t="s">
        <v>367</v>
      </c>
      <c r="G74" s="204" t="str">
        <f>substitute(C74,"{{CONVO_HISTORY}}",E74)</f>
        <v>User: Name ten words that all end with the exact letters "ab".
Assistant: 1. Cab
2. Dab
3. Grab
4. Gab
5. Jab
6. Lab
7. Nab
8. Slab
9. Tab
10. Blab
User: Please find replacements for all "words" that are not real words.</v>
      </c>
      <c r="H74" s="149" t="s">
        <v>266</v>
      </c>
      <c r="I74" s="328"/>
      <c r="J74" s="105"/>
      <c r="K74" s="107"/>
    </row>
    <row r="75" ht="54.0" customHeight="1">
      <c r="A75" s="105"/>
      <c r="B75" s="194"/>
      <c r="C75" s="249"/>
      <c r="D75" s="113"/>
      <c r="E75" s="113"/>
      <c r="F75" s="113"/>
      <c r="G75" s="113"/>
      <c r="H75" s="113"/>
      <c r="I75" s="113"/>
      <c r="J75" s="105"/>
      <c r="K75" s="107"/>
    </row>
    <row r="76" ht="54.0" customHeight="1">
      <c r="A76" s="105"/>
      <c r="B76" s="194"/>
      <c r="C76" s="249"/>
      <c r="D76" s="113"/>
      <c r="E76" s="113"/>
      <c r="F76" s="113"/>
      <c r="G76" s="113"/>
      <c r="H76" s="113"/>
      <c r="I76" s="113"/>
      <c r="J76" s="105"/>
      <c r="K76" s="107"/>
    </row>
    <row r="77" ht="54.0" customHeight="1">
      <c r="A77" s="105"/>
      <c r="B77" s="194"/>
      <c r="C77" s="252"/>
      <c r="D77" s="113"/>
      <c r="E77" s="154"/>
      <c r="F77" s="113"/>
      <c r="G77" s="154"/>
      <c r="H77" s="113"/>
      <c r="I77" s="154"/>
      <c r="J77" s="105"/>
      <c r="K77" s="107"/>
    </row>
    <row r="78" ht="8.25" customHeight="1">
      <c r="A78" s="105"/>
      <c r="B78" s="107"/>
      <c r="C78" s="107"/>
      <c r="D78" s="186"/>
      <c r="E78" s="107"/>
      <c r="F78" s="186"/>
      <c r="G78" s="107"/>
      <c r="H78" s="186"/>
      <c r="I78" s="142"/>
      <c r="J78" s="105"/>
      <c r="K78" s="107"/>
    </row>
    <row r="79">
      <c r="A79" s="105"/>
      <c r="B79" s="107"/>
      <c r="C79" s="191" t="s">
        <v>263</v>
      </c>
      <c r="D79" s="369"/>
      <c r="E79" s="170"/>
      <c r="F79" s="186"/>
      <c r="G79" s="192" t="s">
        <v>718</v>
      </c>
      <c r="H79" s="285"/>
      <c r="I79" s="285"/>
      <c r="J79" s="105"/>
      <c r="K79" s="107"/>
    </row>
    <row r="80" ht="49.5" customHeight="1">
      <c r="A80" s="105"/>
      <c r="B80" s="110"/>
      <c r="C80" s="323" t="s">
        <v>719</v>
      </c>
      <c r="E80" s="113"/>
      <c r="F80" s="149" t="s">
        <v>266</v>
      </c>
      <c r="G80" s="370" t="str">
        <f>claudeMessages(C80,'Tutorial How-To'!$E$37,"temperature",0)</f>
        <v>Here is a three-sentence short story about a girl who likes to run:
Amelia loved the feeling of the wind rushing through her hair as she raced down the trail, her feet pounding against the soft earth. With each stride, she felt a sense of freedom and exhilaration that nothing else could match. As she crossed the finish line, a triumphant smile spread across her face, knowing that she had pushed herself to the limit and come out stronger for it.</v>
      </c>
      <c r="I80" s="113"/>
      <c r="J80" s="105"/>
      <c r="K80" s="107"/>
    </row>
    <row r="81" ht="49.5" customHeight="1">
      <c r="A81" s="105"/>
      <c r="B81" s="110"/>
      <c r="C81" s="285"/>
      <c r="D81" s="285"/>
      <c r="E81" s="154"/>
      <c r="F81" s="113"/>
      <c r="G81" s="285"/>
      <c r="H81" s="285"/>
      <c r="I81" s="154"/>
      <c r="J81" s="105"/>
      <c r="K81" s="107"/>
    </row>
    <row r="82" ht="8.25" customHeight="1">
      <c r="A82" s="105"/>
      <c r="B82" s="135"/>
      <c r="C82" s="107"/>
      <c r="D82" s="186"/>
      <c r="E82" s="107"/>
      <c r="F82" s="186"/>
      <c r="G82" s="107"/>
      <c r="H82" s="186"/>
      <c r="I82" s="142"/>
      <c r="J82" s="105"/>
      <c r="K82" s="107"/>
    </row>
    <row r="83">
      <c r="A83" s="105"/>
      <c r="B83" s="107"/>
      <c r="C83" s="190" t="s">
        <v>361</v>
      </c>
      <c r="D83" s="186"/>
      <c r="E83" s="191" t="s">
        <v>720</v>
      </c>
      <c r="F83" s="186"/>
      <c r="G83" s="192" t="s">
        <v>363</v>
      </c>
      <c r="H83" s="186"/>
      <c r="I83" s="193" t="s">
        <v>721</v>
      </c>
      <c r="J83" s="105"/>
      <c r="K83" s="107"/>
    </row>
    <row r="84" ht="66.75" customHeight="1">
      <c r="A84" s="105"/>
      <c r="B84" s="194"/>
      <c r="C84" s="371" t="s">
        <v>722</v>
      </c>
      <c r="D84" s="384" t="s">
        <v>365</v>
      </c>
      <c r="E84" s="372" t="str">
        <f>concatenate(C80,char(10),"Assistant: ",G80)</f>
        <v>User: Write a three-sentence short story about a girl who likes to run.
Assistant: Here is a three-sentence short story about a girl who likes to run:
Amelia loved the feeling of the wind rushing through her hair as she raced down the trail, her feet pounding against the soft earth. With each stride, she felt a sense of freedom and exhilaration that nothing else could match. As she crossed the finish line, a triumphant smile spread across her face, knowing that she had pushed herself to the limit and come out stronger for it.</v>
      </c>
      <c r="F84" s="385" t="s">
        <v>367</v>
      </c>
      <c r="G84" s="373" t="str">
        <f>substitute(C84,"{{PAST_STORY}}",E84)</f>
        <v>User: Write a three-sentence short story about a girl who likes to run.
Assistant: Here is a three-sentence short story about a girl who likes to run:
Amelia loved the feeling of the wind rushing through her hair as she raced down the trail, her feet pounding against the soft earth. With each stride, she felt a sense of freedom and exhilaration that nothing else could match. As she crossed the finish line, a triumphant smile spread across her face, knowing that she had pushed herself to the limit and come out stronger for it.
User: Make the story better.</v>
      </c>
      <c r="H84" s="149" t="s">
        <v>266</v>
      </c>
      <c r="I84" s="374" t="str">
        <f>claudeMessages(G84,'Tutorial How-To'!$E$37,"temperature",0)</f>
        <v>Here is the three-sentence short story with some improvements:
Amelia's heart raced as she glided effortlessly down the winding trail, her legs carrying her with a grace and power that defied her petite frame. The rhythmic pounding of her feet against the packed dirt filled her with a sense of unbridled joy, each stride propelling her closer to the finish line where a surge of accomplishment awaited. As she crossed the line, Amelia raised her arms in triumph, her flushed cheeks and shining eyes reflecting the pure elation of a runner who had found her true calling.</v>
      </c>
      <c r="J84" s="105"/>
      <c r="K84" s="107"/>
    </row>
    <row r="85" ht="66.75" customHeight="1">
      <c r="A85" s="105"/>
      <c r="B85" s="194"/>
      <c r="C85" s="249"/>
      <c r="D85" s="113"/>
      <c r="E85" s="113"/>
      <c r="F85" s="113"/>
      <c r="G85" s="113"/>
      <c r="H85" s="113"/>
      <c r="I85" s="113"/>
      <c r="J85" s="105"/>
      <c r="K85" s="107"/>
    </row>
    <row r="86" ht="66.75" customHeight="1">
      <c r="A86" s="105"/>
      <c r="B86" s="194"/>
      <c r="C86" s="249"/>
      <c r="D86" s="113"/>
      <c r="E86" s="113"/>
      <c r="F86" s="113"/>
      <c r="G86" s="113"/>
      <c r="H86" s="113"/>
      <c r="I86" s="113"/>
      <c r="J86" s="105"/>
      <c r="K86" s="107"/>
    </row>
    <row r="87" ht="66.75" customHeight="1">
      <c r="A87" s="105"/>
      <c r="B87" s="194"/>
      <c r="C87" s="252"/>
      <c r="D87" s="113"/>
      <c r="E87" s="154"/>
      <c r="F87" s="113"/>
      <c r="G87" s="154"/>
      <c r="H87" s="113"/>
      <c r="I87" s="154"/>
      <c r="J87" s="105"/>
      <c r="K87" s="107"/>
    </row>
    <row r="88" ht="8.25" customHeight="1">
      <c r="A88" s="105"/>
      <c r="B88" s="107"/>
      <c r="C88" s="107"/>
      <c r="D88" s="186"/>
      <c r="E88" s="107"/>
      <c r="F88" s="186"/>
      <c r="G88" s="107"/>
      <c r="H88" s="186"/>
      <c r="I88" s="142"/>
      <c r="J88" s="105"/>
      <c r="K88" s="107"/>
    </row>
    <row r="89">
      <c r="A89" s="105"/>
      <c r="B89" s="107"/>
      <c r="C89" s="191" t="s">
        <v>724</v>
      </c>
      <c r="D89" s="186"/>
      <c r="E89" s="191" t="s">
        <v>725</v>
      </c>
      <c r="F89" s="186"/>
      <c r="G89" s="375" t="s">
        <v>732</v>
      </c>
      <c r="H89" s="186"/>
      <c r="I89" s="200"/>
      <c r="J89" s="105"/>
      <c r="K89" s="107"/>
    </row>
    <row r="90" ht="94.5" customHeight="1">
      <c r="A90" s="105"/>
      <c r="B90" s="110"/>
      <c r="C90" s="204" t="s">
        <v>727</v>
      </c>
      <c r="D90" s="149" t="s">
        <v>266</v>
      </c>
      <c r="E90" s="328" t="str">
        <f>claudeMessages(C90, 'Tutorial How-To'!$E$37,"temperature",0)</f>
        <v>- Jesse
- Erin
- Joey
- Keisha
- Mel
&lt;/names&gt;</v>
      </c>
      <c r="F90" s="388" t="s">
        <v>365</v>
      </c>
      <c r="G90" s="377" t="s">
        <v>728</v>
      </c>
      <c r="H90" s="107"/>
      <c r="I90" s="200"/>
      <c r="J90" s="105"/>
      <c r="K90" s="107"/>
    </row>
    <row r="91" ht="15.75" customHeight="1">
      <c r="A91" s="105"/>
      <c r="B91" s="110"/>
      <c r="C91" s="113"/>
      <c r="D91" s="113"/>
      <c r="E91" s="113"/>
      <c r="F91" s="187"/>
      <c r="G91" s="378" t="s">
        <v>367</v>
      </c>
      <c r="H91" s="186"/>
      <c r="I91" s="200"/>
      <c r="J91" s="105"/>
      <c r="K91" s="107"/>
    </row>
    <row r="92" ht="15.75" customHeight="1">
      <c r="A92" s="105"/>
      <c r="B92" s="160"/>
      <c r="C92" s="113"/>
      <c r="D92" s="113"/>
      <c r="E92" s="113"/>
      <c r="F92" s="135"/>
      <c r="G92" s="192" t="s">
        <v>729</v>
      </c>
      <c r="H92" s="135"/>
      <c r="I92" s="193" t="s">
        <v>730</v>
      </c>
      <c r="J92" s="144"/>
      <c r="K92" s="107"/>
    </row>
    <row r="93" ht="83.25" customHeight="1">
      <c r="A93" s="105"/>
      <c r="B93" s="160"/>
      <c r="C93" s="113"/>
      <c r="D93" s="113"/>
      <c r="E93" s="113"/>
      <c r="F93" s="160"/>
      <c r="G93" s="373" t="str">
        <f>substitute(G90,"{{NAMES}}",E90)</f>
        <v>User: Here is a list of names: 
&lt;names&gt;- Jesse
- Erin
- Joey
- Keisha
- Mel
&lt;/names&gt;
Please alphabetize the list.</v>
      </c>
      <c r="H93" s="149" t="s">
        <v>266</v>
      </c>
      <c r="I93" s="374" t="str">
        <f>claudeMessages(G93, 'Tutorial How-To'!$E$37,"temperature",0)</f>
        <v>Here is the list of names alphabetized:
&lt;names&gt;
- Erin
- Jesse
- Joey
- Keisha
- Mel
&lt;/names&gt;</v>
      </c>
      <c r="J93" s="144"/>
      <c r="K93" s="107"/>
    </row>
    <row r="94" ht="83.25" customHeight="1">
      <c r="A94" s="105"/>
      <c r="B94" s="160"/>
      <c r="C94" s="154"/>
      <c r="D94" s="113"/>
      <c r="E94" s="154"/>
      <c r="F94" s="160"/>
      <c r="G94" s="154"/>
      <c r="H94" s="161"/>
      <c r="I94" s="113"/>
      <c r="J94" s="144"/>
      <c r="K94" s="107"/>
    </row>
    <row r="95" ht="15.75" customHeight="1">
      <c r="B95" s="118"/>
      <c r="C95" s="240"/>
      <c r="D95" s="241"/>
      <c r="E95" s="242"/>
      <c r="F95" s="243"/>
      <c r="G95" s="242"/>
      <c r="H95" s="243"/>
      <c r="I95" s="242"/>
      <c r="J95" s="65"/>
    </row>
    <row r="96">
      <c r="D96" s="34"/>
      <c r="F96" s="34"/>
      <c r="G96" s="96"/>
      <c r="H96" s="34"/>
      <c r="I96" s="70"/>
    </row>
    <row r="97">
      <c r="B97" s="119" t="s">
        <v>733</v>
      </c>
      <c r="G97" s="96"/>
      <c r="H97" s="34"/>
      <c r="I97" s="42" t="s">
        <v>734</v>
      </c>
    </row>
    <row r="98">
      <c r="G98" s="96"/>
      <c r="H98" s="34"/>
      <c r="I98" s="70"/>
    </row>
    <row r="99">
      <c r="B99" s="121" t="s">
        <v>253</v>
      </c>
    </row>
    <row r="100">
      <c r="B100" s="121" t="s">
        <v>286</v>
      </c>
    </row>
    <row r="101">
      <c r="D101" s="34"/>
      <c r="F101" s="34"/>
      <c r="G101" s="96"/>
      <c r="H101" s="34"/>
      <c r="I101" s="70"/>
    </row>
    <row r="102">
      <c r="D102" s="34"/>
      <c r="F102" s="34"/>
      <c r="G102" s="96"/>
      <c r="H102" s="34"/>
      <c r="I102" s="70"/>
    </row>
    <row r="103">
      <c r="D103" s="34"/>
      <c r="F103" s="34"/>
      <c r="G103" s="96"/>
      <c r="H103" s="34"/>
      <c r="I103" s="70"/>
    </row>
    <row r="104">
      <c r="D104" s="34"/>
      <c r="F104" s="34"/>
      <c r="G104" s="96"/>
      <c r="H104" s="34"/>
      <c r="I104" s="70"/>
    </row>
  </sheetData>
  <mergeCells count="86">
    <mergeCell ref="I44:I47"/>
    <mergeCell ref="B49:J49"/>
    <mergeCell ref="C40:E41"/>
    <mergeCell ref="C44:C47"/>
    <mergeCell ref="D44:D47"/>
    <mergeCell ref="E44:E47"/>
    <mergeCell ref="F44:F47"/>
    <mergeCell ref="G44:G47"/>
    <mergeCell ref="H44:H47"/>
    <mergeCell ref="H68:H71"/>
    <mergeCell ref="I68:I71"/>
    <mergeCell ref="B59:E59"/>
    <mergeCell ref="C63:E65"/>
    <mergeCell ref="F63:F65"/>
    <mergeCell ref="G63:I65"/>
    <mergeCell ref="C68:C71"/>
    <mergeCell ref="D68:D71"/>
    <mergeCell ref="E68:E71"/>
    <mergeCell ref="H74:H77"/>
    <mergeCell ref="I74:I77"/>
    <mergeCell ref="G79:I79"/>
    <mergeCell ref="F68:F71"/>
    <mergeCell ref="G68:G71"/>
    <mergeCell ref="C74:C77"/>
    <mergeCell ref="D74:D77"/>
    <mergeCell ref="E74:E77"/>
    <mergeCell ref="F74:F77"/>
    <mergeCell ref="G74:G77"/>
    <mergeCell ref="G84:G87"/>
    <mergeCell ref="H84:H87"/>
    <mergeCell ref="G93:G94"/>
    <mergeCell ref="I93:I94"/>
    <mergeCell ref="I97:J97"/>
    <mergeCell ref="C84:C87"/>
    <mergeCell ref="C90:C94"/>
    <mergeCell ref="D90:D94"/>
    <mergeCell ref="E90:E94"/>
    <mergeCell ref="B97:E97"/>
    <mergeCell ref="B99:J99"/>
    <mergeCell ref="B100:J100"/>
    <mergeCell ref="C80:E81"/>
    <mergeCell ref="F80:F81"/>
    <mergeCell ref="G80:I81"/>
    <mergeCell ref="D84:D87"/>
    <mergeCell ref="E84:E87"/>
    <mergeCell ref="F84:F87"/>
    <mergeCell ref="I84:I87"/>
    <mergeCell ref="B1:G1"/>
    <mergeCell ref="B3:C3"/>
    <mergeCell ref="B8:E8"/>
    <mergeCell ref="I8:J8"/>
    <mergeCell ref="B9:J9"/>
    <mergeCell ref="I11:J11"/>
    <mergeCell ref="B12:J12"/>
    <mergeCell ref="G22:G25"/>
    <mergeCell ref="H22:H25"/>
    <mergeCell ref="I22:I25"/>
    <mergeCell ref="B27:J27"/>
    <mergeCell ref="B11:E11"/>
    <mergeCell ref="C15:E17"/>
    <mergeCell ref="F15:F17"/>
    <mergeCell ref="G15:I17"/>
    <mergeCell ref="B19:J19"/>
    <mergeCell ref="C22:C25"/>
    <mergeCell ref="D22:D25"/>
    <mergeCell ref="E22:E25"/>
    <mergeCell ref="F22:F25"/>
    <mergeCell ref="C30:C33"/>
    <mergeCell ref="D30:D33"/>
    <mergeCell ref="E30:E33"/>
    <mergeCell ref="F30:F33"/>
    <mergeCell ref="G30:G33"/>
    <mergeCell ref="H30:H33"/>
    <mergeCell ref="I30:I33"/>
    <mergeCell ref="B35:J35"/>
    <mergeCell ref="B37:J37"/>
    <mergeCell ref="G39:I39"/>
    <mergeCell ref="F40:F41"/>
    <mergeCell ref="G40:I41"/>
    <mergeCell ref="C52:C56"/>
    <mergeCell ref="D52:D56"/>
    <mergeCell ref="E52:E56"/>
    <mergeCell ref="G55:G56"/>
    <mergeCell ref="I55:I56"/>
    <mergeCell ref="I59:J59"/>
    <mergeCell ref="B60:J60"/>
  </mergeCells>
  <hyperlinks>
    <hyperlink display="Lesson" location="'Appendix - Chaining Prompts'!B8:E8" ref="C4"/>
    <hyperlink display="Examples" location="'Appendix - Chaining Prompts'!B11:E11" ref="C5"/>
    <hyperlink display="Example Playground" location="'Appendix - Chaining Prompts'!B75:E75" ref="C6"/>
    <hyperlink display="Back to top ↑" location="'Appendix - Chaining Prompts'!B1:G1" ref="I8"/>
    <hyperlink r:id="rId1" ref="B9"/>
    <hyperlink display="Back to top ↑" location="'Appendix - Chaining Prompts'!B1:G1" ref="I11"/>
    <hyperlink display="Back to top ↑" location="'Appendix - Chaining Prompts'!B1:G1" ref="I59"/>
    <hyperlink display="← Chapter 9: Congratulations &amp; Next Steps" location="C9CongratsTitle" ref="B97"/>
    <hyperlink display="Appendix: Function Calling →" location="AppFunctionTitle" ref="I97"/>
    <hyperlink display="Back to top ↑" location="'Appendix - Chaining Prompts'!B1:G1" ref="B99"/>
    <hyperlink display="Table of Contents" location="IntroTitle" ref="B100"/>
  </hyperlinks>
  <drawing r:id="rId2"/>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showGridLines="0" workbookViewId="0"/>
  </sheetViews>
  <sheetFormatPr customHeight="1" defaultColWidth="12.63" defaultRowHeight="15.75"/>
  <cols>
    <col customWidth="1" min="1" max="1" width="5.5"/>
    <col customWidth="1" min="2" max="2" width="3.0"/>
    <col customWidth="1" min="3" max="3" width="32.75"/>
    <col customWidth="1" min="4" max="4" width="4.0"/>
    <col customWidth="1" min="5" max="5" width="39.38"/>
    <col customWidth="1" min="6" max="6" width="4.0"/>
    <col customWidth="1" min="7" max="7" width="6.0"/>
  </cols>
  <sheetData>
    <row r="1" ht="32.25" customHeight="1">
      <c r="A1" s="1"/>
      <c r="B1" s="2" t="s">
        <v>735</v>
      </c>
    </row>
    <row r="2" ht="21.75" customHeight="1">
      <c r="D2" s="34"/>
      <c r="F2" s="34"/>
      <c r="G2" s="96"/>
    </row>
    <row r="3" ht="21.75" customHeight="1">
      <c r="A3" s="23"/>
      <c r="B3" s="68" t="s">
        <v>249</v>
      </c>
    </row>
    <row r="4" ht="15.75" customHeight="1">
      <c r="A4" s="23"/>
      <c r="C4" s="69" t="s">
        <v>245</v>
      </c>
    </row>
    <row r="5" ht="15.75" customHeight="1">
      <c r="A5" s="23"/>
    </row>
    <row r="6" ht="30.75" customHeight="1">
      <c r="A6" s="23" t="s">
        <v>251</v>
      </c>
      <c r="B6" s="71" t="s">
        <v>245</v>
      </c>
      <c r="C6" s="72"/>
      <c r="D6" s="72"/>
      <c r="E6" s="73" t="s">
        <v>253</v>
      </c>
      <c r="F6" s="74"/>
    </row>
    <row r="7">
      <c r="B7" s="389" t="s">
        <v>736</v>
      </c>
      <c r="C7" s="48"/>
      <c r="D7" s="48"/>
      <c r="E7" s="48"/>
      <c r="F7" s="49"/>
    </row>
    <row r="8" ht="29.25" customHeight="1">
      <c r="D8" s="34"/>
      <c r="F8" s="34"/>
      <c r="G8" s="96"/>
    </row>
    <row r="9">
      <c r="B9" s="119" t="s">
        <v>737</v>
      </c>
      <c r="D9" s="390"/>
      <c r="E9" s="42" t="s">
        <v>738</v>
      </c>
      <c r="G9" s="96"/>
    </row>
    <row r="10">
      <c r="G10" s="96"/>
    </row>
    <row r="11">
      <c r="B11" s="121" t="s">
        <v>253</v>
      </c>
      <c r="G11" s="391"/>
    </row>
    <row r="12">
      <c r="B12" s="121" t="s">
        <v>286</v>
      </c>
      <c r="G12" s="391"/>
    </row>
    <row r="13">
      <c r="D13" s="34"/>
      <c r="F13" s="34"/>
      <c r="G13" s="96"/>
    </row>
    <row r="14">
      <c r="D14" s="34"/>
      <c r="F14" s="34"/>
      <c r="G14" s="96"/>
    </row>
    <row r="15">
      <c r="D15" s="34"/>
      <c r="F15" s="34"/>
      <c r="G15" s="96"/>
    </row>
    <row r="16">
      <c r="D16" s="34"/>
      <c r="F16" s="34"/>
      <c r="G16" s="96"/>
    </row>
  </sheetData>
  <mergeCells count="9">
    <mergeCell ref="B11:F11"/>
    <mergeCell ref="B12:F12"/>
    <mergeCell ref="B1:G1"/>
    <mergeCell ref="B3:C3"/>
    <mergeCell ref="B6:D6"/>
    <mergeCell ref="E6:F6"/>
    <mergeCell ref="B7:F7"/>
    <mergeCell ref="B9:C9"/>
    <mergeCell ref="E9:F9"/>
  </mergeCells>
  <hyperlinks>
    <hyperlink display="Back to top ↑" location="App1Title" ref="E6"/>
    <hyperlink r:id="rId1" ref="B7"/>
    <hyperlink display="← Appendix: Chaining Prompts" location="AppChainingTitle" ref="B9"/>
    <hyperlink display="Appendix: Search &amp; Retrieval →" location="App1Search" ref="E9"/>
    <hyperlink display="Back to top ↑" location="AppFunctionTitle" ref="B11"/>
    <hyperlink display="Table of Contents" location="IntroTitle" ref="B12"/>
  </hyperlinks>
  <drawing r:id="rId2"/>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showGridLines="0" workbookViewId="0"/>
  </sheetViews>
  <sheetFormatPr customHeight="1" defaultColWidth="12.63" defaultRowHeight="15.75"/>
  <cols>
    <col customWidth="1" min="1" max="1" width="5.5"/>
    <col customWidth="1" min="2" max="2" width="3.0"/>
    <col customWidth="1" min="3" max="3" width="50.5"/>
    <col customWidth="1" min="4" max="4" width="4.0"/>
    <col customWidth="1" min="5" max="5" width="55.75"/>
    <col customWidth="1" min="6" max="6" width="3.0"/>
    <col customWidth="1" min="7" max="7" width="5.5"/>
  </cols>
  <sheetData>
    <row r="1" ht="32.25" customHeight="1">
      <c r="A1" s="1"/>
      <c r="B1" s="2" t="s">
        <v>739</v>
      </c>
      <c r="F1" s="3"/>
      <c r="G1" s="3"/>
    </row>
    <row r="2" ht="21.75" customHeight="1"/>
    <row r="3" ht="21.75" customHeight="1">
      <c r="A3" s="23"/>
      <c r="B3" s="68" t="s">
        <v>249</v>
      </c>
    </row>
    <row r="4" ht="15.75" customHeight="1">
      <c r="A4" s="23"/>
      <c r="C4" s="69" t="s">
        <v>246</v>
      </c>
    </row>
    <row r="5" ht="33.75" customHeight="1"/>
    <row r="6" ht="29.25" customHeight="1">
      <c r="A6" s="70"/>
      <c r="B6" s="71" t="s">
        <v>246</v>
      </c>
      <c r="C6" s="72"/>
      <c r="D6" s="72"/>
      <c r="E6" s="73" t="s">
        <v>253</v>
      </c>
      <c r="F6" s="74"/>
      <c r="G6" s="70"/>
    </row>
    <row r="7">
      <c r="B7" s="392" t="s">
        <v>740</v>
      </c>
      <c r="C7" s="48"/>
      <c r="D7" s="48"/>
      <c r="E7" s="48"/>
      <c r="F7" s="49"/>
    </row>
    <row r="9">
      <c r="B9" s="119" t="s">
        <v>737</v>
      </c>
      <c r="E9" s="393"/>
    </row>
    <row r="10" ht="8.25" customHeight="1"/>
    <row r="11">
      <c r="B11" s="121" t="s">
        <v>253</v>
      </c>
    </row>
    <row r="12">
      <c r="B12" s="121" t="s">
        <v>286</v>
      </c>
    </row>
  </sheetData>
  <mergeCells count="9">
    <mergeCell ref="B11:F11"/>
    <mergeCell ref="B12:F12"/>
    <mergeCell ref="B1:E1"/>
    <mergeCell ref="B3:C3"/>
    <mergeCell ref="B6:D6"/>
    <mergeCell ref="E6:F6"/>
    <mergeCell ref="B7:F7"/>
    <mergeCell ref="B9:D9"/>
    <mergeCell ref="E9:F9"/>
  </mergeCells>
  <hyperlinks>
    <hyperlink display="Search &amp; Retrieval" location="App1Search" ref="C4"/>
    <hyperlink display="Back to top ↑" location="App1Title" ref="E6"/>
    <hyperlink r:id="rId1" ref="B7"/>
    <hyperlink display="← Appendix: Chaining Prompts" location="AppChainingTitle" ref="B9"/>
    <hyperlink display="Back to top ↑" location="App1Title" ref="B11"/>
    <hyperlink display="Table of Contents" location="IntroTitle" ref="B12"/>
  </hyperlinks>
  <drawing r:id="rId2"/>
</worksheet>
</file>